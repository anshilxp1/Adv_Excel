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ETPA\EXCEL\"/>
    </mc:Choice>
  </mc:AlternateContent>
  <xr:revisionPtr revIDLastSave="0" documentId="8_{527B8800-C038-4A3C-A252-39AB3AD047D0}" xr6:coauthVersionLast="47" xr6:coauthVersionMax="47" xr10:uidLastSave="{00000000-0000-0000-0000-000000000000}"/>
  <bookViews>
    <workbookView xWindow="-108" yWindow="-108" windowWidth="23256" windowHeight="12456" firstSheet="3" activeTab="13" xr2:uid="{E327FD0F-2DD0-40C0-9142-A5C7CB98240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4" l="1"/>
  <c r="K4" i="14"/>
  <c r="L4" i="14"/>
  <c r="M4" i="14"/>
  <c r="N4" i="14"/>
  <c r="O4" i="14"/>
  <c r="K5" i="14"/>
  <c r="L5" i="14"/>
  <c r="M5" i="14"/>
  <c r="N5" i="14"/>
  <c r="O5" i="14"/>
  <c r="K6" i="14"/>
  <c r="L6" i="14"/>
  <c r="M6" i="14"/>
  <c r="N6" i="14"/>
  <c r="O6" i="14"/>
  <c r="K7" i="14"/>
  <c r="L7" i="14"/>
  <c r="M7" i="14"/>
  <c r="N7" i="14"/>
  <c r="O7" i="14"/>
  <c r="K8" i="14"/>
  <c r="L8" i="14"/>
  <c r="M8" i="14"/>
  <c r="N8" i="14"/>
  <c r="O8" i="14"/>
  <c r="K9" i="14"/>
  <c r="L9" i="14"/>
  <c r="M9" i="14"/>
  <c r="N9" i="14"/>
  <c r="O9" i="14"/>
  <c r="K10" i="14"/>
  <c r="L10" i="14"/>
  <c r="M10" i="14"/>
  <c r="N10" i="14"/>
  <c r="J10" i="14"/>
  <c r="J9" i="14"/>
  <c r="J8" i="14"/>
  <c r="J7" i="14"/>
  <c r="J6" i="14"/>
  <c r="J5" i="14"/>
  <c r="J4" i="14"/>
  <c r="E4" i="11"/>
  <c r="E5" i="11"/>
  <c r="E6" i="11"/>
  <c r="E7" i="11"/>
  <c r="E8" i="11"/>
  <c r="E9" i="11"/>
  <c r="E3" i="11"/>
  <c r="D4" i="10"/>
  <c r="D5" i="10"/>
  <c r="D3" i="10"/>
  <c r="G4" i="8"/>
  <c r="G5" i="8"/>
  <c r="G6" i="8"/>
  <c r="G7" i="8"/>
  <c r="G8" i="8"/>
  <c r="G9" i="8"/>
  <c r="F4" i="8"/>
  <c r="F5" i="8"/>
  <c r="F6" i="8"/>
  <c r="F7" i="8"/>
  <c r="F8" i="8"/>
  <c r="F9" i="8"/>
  <c r="F3" i="8"/>
  <c r="G3" i="8" s="1"/>
  <c r="J4" i="7"/>
  <c r="J5" i="7"/>
  <c r="J6" i="7"/>
  <c r="J3" i="7"/>
  <c r="I6" i="7"/>
  <c r="I4" i="7"/>
  <c r="I5" i="7"/>
  <c r="I3" i="7"/>
  <c r="H4" i="7"/>
  <c r="H5" i="7"/>
  <c r="H6" i="7"/>
  <c r="H3" i="7"/>
  <c r="G3" i="7"/>
  <c r="G4" i="7"/>
  <c r="G5" i="7"/>
  <c r="G6" i="7"/>
  <c r="F3" i="7"/>
  <c r="F4" i="7"/>
  <c r="F5" i="7"/>
  <c r="F6" i="7"/>
  <c r="D4" i="7"/>
  <c r="D5" i="7"/>
  <c r="D6" i="7"/>
  <c r="D3" i="7"/>
  <c r="D3" i="5"/>
  <c r="D8" i="5"/>
  <c r="D7" i="5"/>
  <c r="D4" i="5"/>
  <c r="D5" i="5"/>
  <c r="D6" i="5"/>
  <c r="D9" i="5"/>
  <c r="C4" i="4"/>
  <c r="C5" i="4"/>
  <c r="C6" i="4"/>
  <c r="C7" i="4"/>
  <c r="C8" i="4"/>
  <c r="C9" i="4"/>
  <c r="C3" i="4"/>
  <c r="C4" i="3"/>
  <c r="C5" i="3"/>
  <c r="C6" i="3"/>
  <c r="C7" i="3"/>
  <c r="C8" i="3"/>
  <c r="C9" i="3"/>
  <c r="C3" i="3"/>
  <c r="C4" i="1"/>
  <c r="C5" i="1"/>
  <c r="C6" i="1"/>
  <c r="C7" i="1"/>
  <c r="C8" i="1"/>
  <c r="C3" i="1"/>
</calcChain>
</file>

<file path=xl/sharedStrings.xml><?xml version="1.0" encoding="utf-8"?>
<sst xmlns="http://schemas.openxmlformats.org/spreadsheetml/2006/main" count="379" uniqueCount="216">
  <si>
    <t>name</t>
  </si>
  <si>
    <t>marks</t>
  </si>
  <si>
    <t>result 50</t>
  </si>
  <si>
    <t>result 30</t>
  </si>
  <si>
    <t>result 45</t>
  </si>
  <si>
    <t>punit</t>
  </si>
  <si>
    <t>rahul</t>
  </si>
  <si>
    <t>pankaj</t>
  </si>
  <si>
    <t>vinay</t>
  </si>
  <si>
    <t>sumit</t>
  </si>
  <si>
    <t>vivek</t>
  </si>
  <si>
    <t>QUESTION-1</t>
  </si>
  <si>
    <t>Q 1. calculate result if passing marks is 50 THEN PASS ELSE FAIL</t>
  </si>
  <si>
    <t>Q 2. calculate result if passing marks is 30 THEN PASS ELSE FAIL</t>
  </si>
  <si>
    <t>Q 3. calculate result if passing marks is 45 THEN PASS ELSE FAIL</t>
  </si>
  <si>
    <t>result 1</t>
  </si>
  <si>
    <t>result 2</t>
  </si>
  <si>
    <t>&gt;80</t>
  </si>
  <si>
    <t>first</t>
  </si>
  <si>
    <t>&gt;50</t>
  </si>
  <si>
    <t>second</t>
  </si>
  <si>
    <t>&gt;30</t>
  </si>
  <si>
    <t>third</t>
  </si>
  <si>
    <t>&lt;30</t>
  </si>
  <si>
    <t>fail</t>
  </si>
  <si>
    <t>Q 1. calculate result 1 on the following criteria</t>
  </si>
  <si>
    <t>&gt;90</t>
  </si>
  <si>
    <t>&gt;60</t>
  </si>
  <si>
    <t>&gt;35</t>
  </si>
  <si>
    <t>&lt;35</t>
  </si>
  <si>
    <t>Q 2. calculate result 2 on the following criteria</t>
  </si>
  <si>
    <t>QUESTION-2</t>
  </si>
  <si>
    <t>Name</t>
  </si>
  <si>
    <t>dept</t>
  </si>
  <si>
    <t>ajit</t>
  </si>
  <si>
    <t>pur</t>
  </si>
  <si>
    <t>sale</t>
  </si>
  <si>
    <t>vineet</t>
  </si>
  <si>
    <t>kabir</t>
  </si>
  <si>
    <t>rajendra</t>
  </si>
  <si>
    <t>anuj</t>
  </si>
  <si>
    <t>salary 1</t>
  </si>
  <si>
    <t>salary 2</t>
  </si>
  <si>
    <t>Q 1. define salary 1 for the following dept</t>
  </si>
  <si>
    <t>Q 2. define salary 2 for the following dept</t>
  </si>
  <si>
    <t>QUESTION-3</t>
  </si>
  <si>
    <t>mkt</t>
  </si>
  <si>
    <t>Q 1. define salary 2 for the following dept</t>
  </si>
  <si>
    <t>QUESTION-4</t>
  </si>
  <si>
    <t>basic</t>
  </si>
  <si>
    <t>da</t>
  </si>
  <si>
    <t>QUESTION-5</t>
  </si>
  <si>
    <t>Q 1. calculate da for the following employee</t>
  </si>
  <si>
    <t>30% of basic</t>
  </si>
  <si>
    <t>35% of basic</t>
  </si>
  <si>
    <t>40% of basic</t>
  </si>
  <si>
    <t>ta</t>
  </si>
  <si>
    <t>Q 2. calculate da for the following employee</t>
  </si>
  <si>
    <t>60% of basic</t>
  </si>
  <si>
    <t>45% of basic</t>
  </si>
  <si>
    <t>20% of basic</t>
  </si>
  <si>
    <t>emp code</t>
  </si>
  <si>
    <t>designation</t>
  </si>
  <si>
    <t xml:space="preserve">basic </t>
  </si>
  <si>
    <t>others allowance</t>
  </si>
  <si>
    <t>net salary</t>
  </si>
  <si>
    <t>AS024</t>
  </si>
  <si>
    <t>bikash</t>
  </si>
  <si>
    <t>AS045</t>
  </si>
  <si>
    <t>gopal</t>
  </si>
  <si>
    <t>AS125</t>
  </si>
  <si>
    <t>kunal</t>
  </si>
  <si>
    <t>AS320</t>
  </si>
  <si>
    <t>sachin</t>
  </si>
  <si>
    <t>QUESTION-6</t>
  </si>
  <si>
    <t xml:space="preserve">Q.1) designation will depend on the mention criteria </t>
  </si>
  <si>
    <t>basic salary</t>
  </si>
  <si>
    <t>more than equal to 25000</t>
  </si>
  <si>
    <t>manager</t>
  </si>
  <si>
    <t>more than equal to 18000</t>
  </si>
  <si>
    <t>executive</t>
  </si>
  <si>
    <t>otherwise</t>
  </si>
  <si>
    <t>trainee</t>
  </si>
  <si>
    <t>Ques 2. others allowance 12% for manager and 10% for others on basic.</t>
  </si>
  <si>
    <t>Ques 3.  calculate net salary</t>
  </si>
  <si>
    <t>Emp name</t>
  </si>
  <si>
    <t>city</t>
  </si>
  <si>
    <t>hra</t>
  </si>
  <si>
    <t>GTI</t>
  </si>
  <si>
    <t>Deduction</t>
  </si>
  <si>
    <t>taxable income</t>
  </si>
  <si>
    <t>tax</t>
  </si>
  <si>
    <t>net income</t>
  </si>
  <si>
    <t>salman</t>
  </si>
  <si>
    <t>kolkata</t>
  </si>
  <si>
    <t>ranbir</t>
  </si>
  <si>
    <t>delhi</t>
  </si>
  <si>
    <t>ritesh</t>
  </si>
  <si>
    <t>mumbai</t>
  </si>
  <si>
    <t>karina</t>
  </si>
  <si>
    <t>QUESTION-7</t>
  </si>
  <si>
    <t>1. da will be 35% for kolkata city and 30% for others city on basic</t>
  </si>
  <si>
    <t>2. calculate gross total income (basic +da+hra)</t>
  </si>
  <si>
    <t>3. calculate deduction (50% of basic or hra, whichever is less) else 0</t>
  </si>
  <si>
    <t>4. calculate taxable income (gross total income-deduction) using appropriate formula</t>
  </si>
  <si>
    <t>upto 200000</t>
  </si>
  <si>
    <t>200001 to 500000</t>
  </si>
  <si>
    <t>500001 to 1000000</t>
  </si>
  <si>
    <t>above 1000000</t>
  </si>
  <si>
    <t>5. calculate tax as per slab rate as follows</t>
  </si>
  <si>
    <t xml:space="preserve">salesman </t>
  </si>
  <si>
    <t>location</t>
  </si>
  <si>
    <t>april</t>
  </si>
  <si>
    <t>may</t>
  </si>
  <si>
    <t>june</t>
  </si>
  <si>
    <t>commission</t>
  </si>
  <si>
    <t>tapan dey</t>
  </si>
  <si>
    <t>riya sen</t>
  </si>
  <si>
    <t>asansol</t>
  </si>
  <si>
    <t>albert peter</t>
  </si>
  <si>
    <t>abhishek pandey</t>
  </si>
  <si>
    <t>durgapur</t>
  </si>
  <si>
    <t>soma chatterjee</t>
  </si>
  <si>
    <t>rittika singh</t>
  </si>
  <si>
    <t>ajit kumar</t>
  </si>
  <si>
    <t>Ques 1. calculate commission 5% of total sales if total sales is more than 250000,</t>
  </si>
  <si>
    <t>2% of total sales if total sales is 200000 to 250000 otherwise nil</t>
  </si>
  <si>
    <t>QUESTION-8</t>
  </si>
  <si>
    <t>Emp. Code</t>
  </si>
  <si>
    <t>Department</t>
  </si>
  <si>
    <t>Doj</t>
  </si>
  <si>
    <t>E001</t>
  </si>
  <si>
    <t>Amit</t>
  </si>
  <si>
    <t>E002</t>
  </si>
  <si>
    <t>ravi</t>
  </si>
  <si>
    <t>acct</t>
  </si>
  <si>
    <t>E003</t>
  </si>
  <si>
    <t>sanjay</t>
  </si>
  <si>
    <t>E004</t>
  </si>
  <si>
    <t>rajesh</t>
  </si>
  <si>
    <t>E005</t>
  </si>
  <si>
    <t>vinod</t>
  </si>
  <si>
    <t>E006</t>
  </si>
  <si>
    <t>ramesh</t>
  </si>
  <si>
    <t>QUESTION-9</t>
  </si>
  <si>
    <t>Ques 1. calculate basic as per date of joining</t>
  </si>
  <si>
    <t>date of joining</t>
  </si>
  <si>
    <t>on or before 31-12-2009</t>
  </si>
  <si>
    <t>1-1-2010 to 31-12-2011</t>
  </si>
  <si>
    <t>onwards 1-1-2012</t>
  </si>
  <si>
    <t>student name</t>
  </si>
  <si>
    <t>course</t>
  </si>
  <si>
    <t>fees</t>
  </si>
  <si>
    <t>no of 
installments</t>
  </si>
  <si>
    <t>dipankar</t>
  </si>
  <si>
    <t>tally</t>
  </si>
  <si>
    <t>bba</t>
  </si>
  <si>
    <t>soumya</t>
  </si>
  <si>
    <t>cia</t>
  </si>
  <si>
    <t>Ques 1. no of installment will be as follows</t>
  </si>
  <si>
    <t>fees below 30000</t>
  </si>
  <si>
    <t>4 installment</t>
  </si>
  <si>
    <t>fees 30001 to 50000</t>
  </si>
  <si>
    <t>6 installment</t>
  </si>
  <si>
    <t>fees above 50000</t>
  </si>
  <si>
    <t>8 installment</t>
  </si>
  <si>
    <t>QUESTION-10</t>
  </si>
  <si>
    <t xml:space="preserve">Employee </t>
  </si>
  <si>
    <t xml:space="preserve">Location </t>
  </si>
  <si>
    <t xml:space="preserve">Department </t>
  </si>
  <si>
    <t xml:space="preserve">Basic </t>
  </si>
  <si>
    <t xml:space="preserve">HRA </t>
  </si>
  <si>
    <t>Moumita</t>
  </si>
  <si>
    <t>Kolkata</t>
  </si>
  <si>
    <t>Acct</t>
  </si>
  <si>
    <t>Pauli</t>
  </si>
  <si>
    <t>Asansol</t>
  </si>
  <si>
    <t>Sales</t>
  </si>
  <si>
    <t>Kangna</t>
  </si>
  <si>
    <t>CRM</t>
  </si>
  <si>
    <t>Tuhin</t>
  </si>
  <si>
    <t>Debabrata</t>
  </si>
  <si>
    <t>Swastika</t>
  </si>
  <si>
    <t xml:space="preserve">HRA will be 30% of Basic for Kolkata and @20% of </t>
  </si>
  <si>
    <t>Basic for Asansol location.</t>
  </si>
  <si>
    <t>QUESTION-11</t>
  </si>
  <si>
    <t xml:space="preserve"> </t>
  </si>
  <si>
    <t>department</t>
  </si>
  <si>
    <t>HRA</t>
  </si>
  <si>
    <t>QUESTION-12</t>
  </si>
  <si>
    <t>Calculate tax as per slab rate as follows</t>
  </si>
  <si>
    <t>QUESTION-13</t>
  </si>
  <si>
    <t>Marks sheet</t>
  </si>
  <si>
    <t>PIYUSH</t>
  </si>
  <si>
    <t>YASH</t>
  </si>
  <si>
    <t>SONI</t>
  </si>
  <si>
    <t>ANISH</t>
  </si>
  <si>
    <t>ROSE</t>
  </si>
  <si>
    <t>ANIKET</t>
  </si>
  <si>
    <t>BCA</t>
  </si>
  <si>
    <t>FOA</t>
  </si>
  <si>
    <t>TALLY</t>
  </si>
  <si>
    <t>ACE</t>
  </si>
  <si>
    <t>ADV ACCT</t>
  </si>
  <si>
    <t>INCOME TAX</t>
  </si>
  <si>
    <t>PDP</t>
  </si>
  <si>
    <t>TOTAL</t>
  </si>
  <si>
    <t>AVERAGE</t>
  </si>
  <si>
    <t>GRADE</t>
  </si>
  <si>
    <t>Find each subjects grade as per following condition</t>
  </si>
  <si>
    <t>1.) Grade "A" ,marks &gt;=80</t>
  </si>
  <si>
    <t>2.) Grade "B", marks&gt;=60</t>
  </si>
  <si>
    <t>3.) Grade "C", marks &gt;=50</t>
  </si>
  <si>
    <t>4.) other wise "fail"</t>
  </si>
  <si>
    <t>QUESTION-14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</si>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</sst>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9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EE8C-7B06-4222-A17A-A47253703466}">
  <dimension ref="A1:G12"/>
  <sheetViews>
    <sheetView workbookViewId="0">
      <selection activeCell="C3" sqref="C3:C8"/>
    </sheetView>
  </sheetViews>
  <sheetFormatPr defaultRowHeight="14.4" x14ac:dyDescent="0.3"/>
  <sheetData>
    <row r="1" spans="1:7" x14ac:dyDescent="0.3">
      <c r="A1" s="16" t="s">
        <v>11</v>
      </c>
      <c r="B1" s="16"/>
      <c r="C1" s="16"/>
      <c r="D1" s="16"/>
      <c r="E1" s="16"/>
    </row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7" x14ac:dyDescent="0.3">
      <c r="A3" s="2" t="s">
        <v>5</v>
      </c>
      <c r="B3" s="2">
        <v>37</v>
      </c>
      <c r="C3" s="2" t="str">
        <f>IF(B3&gt;50,"pass","fail")</f>
        <v>fail</v>
      </c>
      <c r="D3" s="2"/>
      <c r="E3" s="2"/>
    </row>
    <row r="4" spans="1:7" x14ac:dyDescent="0.3">
      <c r="A4" s="2" t="s">
        <v>6</v>
      </c>
      <c r="B4" s="2">
        <v>59</v>
      </c>
      <c r="C4" s="2" t="str">
        <f t="shared" ref="C4:C8" si="0">IF(B4&gt;50,"pass","fail")</f>
        <v>pass</v>
      </c>
      <c r="D4" s="2"/>
      <c r="E4" s="2"/>
    </row>
    <row r="5" spans="1:7" x14ac:dyDescent="0.3">
      <c r="A5" s="2" t="s">
        <v>7</v>
      </c>
      <c r="B5" s="2">
        <v>83</v>
      </c>
      <c r="C5" s="2" t="str">
        <f t="shared" si="0"/>
        <v>pass</v>
      </c>
      <c r="D5" s="2"/>
      <c r="E5" s="2"/>
    </row>
    <row r="6" spans="1:7" x14ac:dyDescent="0.3">
      <c r="A6" s="2" t="s">
        <v>8</v>
      </c>
      <c r="B6" s="2">
        <v>72</v>
      </c>
      <c r="C6" s="2" t="str">
        <f t="shared" si="0"/>
        <v>pass</v>
      </c>
      <c r="D6" s="2"/>
      <c r="E6" s="2"/>
    </row>
    <row r="7" spans="1:7" x14ac:dyDescent="0.3">
      <c r="A7" s="2" t="s">
        <v>9</v>
      </c>
      <c r="B7" s="2">
        <v>28</v>
      </c>
      <c r="C7" s="2" t="str">
        <f t="shared" si="0"/>
        <v>fail</v>
      </c>
      <c r="D7" s="2"/>
      <c r="E7" s="2"/>
    </row>
    <row r="8" spans="1:7" x14ac:dyDescent="0.3">
      <c r="A8" s="2" t="s">
        <v>10</v>
      </c>
      <c r="B8" s="2">
        <v>42</v>
      </c>
      <c r="C8" s="2" t="str">
        <f t="shared" si="0"/>
        <v>fail</v>
      </c>
      <c r="D8" s="2"/>
      <c r="E8" s="2"/>
    </row>
    <row r="9" spans="1:7" x14ac:dyDescent="0.3">
      <c r="A9" s="15"/>
      <c r="B9" s="15"/>
      <c r="C9" s="15"/>
      <c r="D9" s="15"/>
      <c r="E9" s="15"/>
    </row>
    <row r="10" spans="1:7" x14ac:dyDescent="0.3">
      <c r="A10" s="17" t="s">
        <v>12</v>
      </c>
      <c r="B10" s="17"/>
      <c r="C10" s="17"/>
      <c r="D10" s="17"/>
      <c r="E10" s="17"/>
      <c r="F10" s="17"/>
      <c r="G10" s="17"/>
    </row>
    <row r="11" spans="1:7" x14ac:dyDescent="0.3">
      <c r="A11" s="17" t="s">
        <v>13</v>
      </c>
      <c r="B11" s="17"/>
      <c r="C11" s="17"/>
      <c r="D11" s="17"/>
      <c r="E11" s="17"/>
      <c r="F11" s="17"/>
      <c r="G11" s="17"/>
    </row>
    <row r="12" spans="1:7" x14ac:dyDescent="0.3">
      <c r="A12" s="17" t="s">
        <v>14</v>
      </c>
      <c r="B12" s="17"/>
      <c r="C12" s="17"/>
      <c r="D12" s="17"/>
      <c r="E12" s="17"/>
      <c r="F12" s="17"/>
      <c r="G12" s="17"/>
    </row>
  </sheetData>
  <mergeCells count="5">
    <mergeCell ref="A9:E9"/>
    <mergeCell ref="A1:E1"/>
    <mergeCell ref="A10:G10"/>
    <mergeCell ref="A11:G11"/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A7C3-8C0A-4D73-8E9E-4ACBDCD7F02E}">
  <dimension ref="A1:I15"/>
  <sheetViews>
    <sheetView workbookViewId="0">
      <selection activeCell="A3" sqref="A3:A8"/>
    </sheetView>
  </sheetViews>
  <sheetFormatPr defaultRowHeight="14.4" x14ac:dyDescent="0.3"/>
  <sheetData>
    <row r="1" spans="1:9" x14ac:dyDescent="0.3">
      <c r="A1" s="16" t="s">
        <v>31</v>
      </c>
      <c r="B1" s="16"/>
      <c r="C1" s="16"/>
      <c r="D1" s="16"/>
    </row>
    <row r="2" spans="1:9" ht="15.6" x14ac:dyDescent="0.3">
      <c r="A2" s="4" t="s">
        <v>0</v>
      </c>
      <c r="B2" s="4" t="s">
        <v>1</v>
      </c>
      <c r="C2" s="4" t="s">
        <v>15</v>
      </c>
      <c r="D2" s="4" t="s">
        <v>16</v>
      </c>
    </row>
    <row r="3" spans="1:9" ht="15.6" x14ac:dyDescent="0.3">
      <c r="A3" s="5" t="s">
        <v>5</v>
      </c>
      <c r="B3" s="5">
        <v>37</v>
      </c>
      <c r="C3" s="5"/>
      <c r="D3" s="5"/>
    </row>
    <row r="4" spans="1:9" ht="15.6" x14ac:dyDescent="0.3">
      <c r="A4" s="5" t="s">
        <v>6</v>
      </c>
      <c r="B4" s="5">
        <v>59</v>
      </c>
      <c r="C4" s="5"/>
      <c r="D4" s="5"/>
    </row>
    <row r="5" spans="1:9" ht="15.6" x14ac:dyDescent="0.3">
      <c r="A5" s="5" t="s">
        <v>7</v>
      </c>
      <c r="B5" s="5">
        <v>83</v>
      </c>
      <c r="C5" s="5"/>
      <c r="D5" s="5"/>
    </row>
    <row r="6" spans="1:9" ht="15.6" x14ac:dyDescent="0.3">
      <c r="A6" s="5" t="s">
        <v>8</v>
      </c>
      <c r="B6" s="5">
        <v>72</v>
      </c>
      <c r="C6" s="5"/>
      <c r="D6" s="5"/>
    </row>
    <row r="7" spans="1:9" ht="15.6" x14ac:dyDescent="0.3">
      <c r="A7" s="5" t="s">
        <v>9</v>
      </c>
      <c r="B7" s="5">
        <v>28</v>
      </c>
      <c r="C7" s="5"/>
      <c r="D7" s="5"/>
    </row>
    <row r="8" spans="1:9" ht="15.6" x14ac:dyDescent="0.3">
      <c r="A8" s="5" t="s">
        <v>10</v>
      </c>
      <c r="B8" s="5">
        <v>42</v>
      </c>
      <c r="C8" s="5"/>
      <c r="D8" s="5"/>
    </row>
    <row r="11" spans="1:9" ht="33.450000000000003" customHeight="1" x14ac:dyDescent="0.3">
      <c r="A11" s="19" t="s">
        <v>25</v>
      </c>
      <c r="B11" s="19"/>
      <c r="C11" s="19"/>
      <c r="D11" s="19"/>
      <c r="F11" s="19" t="s">
        <v>30</v>
      </c>
      <c r="G11" s="19"/>
      <c r="H11" s="19"/>
      <c r="I11" s="19"/>
    </row>
    <row r="12" spans="1:9" ht="15.6" x14ac:dyDescent="0.3">
      <c r="A12" s="18" t="s">
        <v>17</v>
      </c>
      <c r="B12" s="18"/>
      <c r="C12" s="18" t="s">
        <v>18</v>
      </c>
      <c r="D12" s="18"/>
      <c r="F12" s="18" t="s">
        <v>26</v>
      </c>
      <c r="G12" s="18"/>
      <c r="H12" s="18" t="s">
        <v>18</v>
      </c>
      <c r="I12" s="18"/>
    </row>
    <row r="13" spans="1:9" ht="15.6" x14ac:dyDescent="0.3">
      <c r="A13" s="18" t="s">
        <v>19</v>
      </c>
      <c r="B13" s="18"/>
      <c r="C13" s="18" t="s">
        <v>20</v>
      </c>
      <c r="D13" s="18"/>
      <c r="F13" s="18" t="s">
        <v>27</v>
      </c>
      <c r="G13" s="18"/>
      <c r="H13" s="18" t="s">
        <v>20</v>
      </c>
      <c r="I13" s="18"/>
    </row>
    <row r="14" spans="1:9" ht="15.6" x14ac:dyDescent="0.3">
      <c r="A14" s="18" t="s">
        <v>21</v>
      </c>
      <c r="B14" s="18"/>
      <c r="C14" s="18" t="s">
        <v>22</v>
      </c>
      <c r="D14" s="18"/>
      <c r="F14" s="18" t="s">
        <v>28</v>
      </c>
      <c r="G14" s="18"/>
      <c r="H14" s="18" t="s">
        <v>22</v>
      </c>
      <c r="I14" s="18"/>
    </row>
    <row r="15" spans="1:9" ht="15.6" x14ac:dyDescent="0.3">
      <c r="A15" s="18" t="s">
        <v>23</v>
      </c>
      <c r="B15" s="18"/>
      <c r="C15" s="18" t="s">
        <v>24</v>
      </c>
      <c r="D15" s="18"/>
      <c r="F15" s="18" t="s">
        <v>29</v>
      </c>
      <c r="G15" s="18"/>
      <c r="H15" s="18" t="s">
        <v>24</v>
      </c>
      <c r="I15" s="18"/>
    </row>
  </sheetData>
  <mergeCells count="19">
    <mergeCell ref="H15:I15"/>
    <mergeCell ref="A1:D1"/>
    <mergeCell ref="A15:B15"/>
    <mergeCell ref="C15:D15"/>
    <mergeCell ref="F11:I11"/>
    <mergeCell ref="F12:G12"/>
    <mergeCell ref="H12:I12"/>
    <mergeCell ref="F13:G13"/>
    <mergeCell ref="H13:I13"/>
    <mergeCell ref="F14:G14"/>
    <mergeCell ref="H14:I14"/>
    <mergeCell ref="F15:G15"/>
    <mergeCell ref="A11:D11"/>
    <mergeCell ref="A12:B12"/>
    <mergeCell ref="C12:D12"/>
    <mergeCell ref="A13:B13"/>
    <mergeCell ref="C13:D13"/>
    <mergeCell ref="A14:B14"/>
    <mergeCell ref="C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315B-CC52-4604-8741-AAC2F5EBD692}">
  <dimension ref="A1:I14"/>
  <sheetViews>
    <sheetView workbookViewId="0">
      <selection activeCell="C3" sqref="C3:C9"/>
    </sheetView>
  </sheetViews>
  <sheetFormatPr defaultRowHeight="14.4" x14ac:dyDescent="0.3"/>
  <cols>
    <col min="3" max="3" width="10.77734375" customWidth="1"/>
    <col min="4" max="4" width="11.77734375" customWidth="1"/>
    <col min="9" max="9" width="10.6640625" customWidth="1"/>
  </cols>
  <sheetData>
    <row r="1" spans="1:9" x14ac:dyDescent="0.3">
      <c r="A1" s="16" t="s">
        <v>45</v>
      </c>
      <c r="B1" s="16"/>
      <c r="C1" s="16"/>
      <c r="D1" s="16"/>
    </row>
    <row r="2" spans="1:9" x14ac:dyDescent="0.3">
      <c r="A2" s="1" t="s">
        <v>32</v>
      </c>
      <c r="B2" s="1" t="s">
        <v>33</v>
      </c>
      <c r="C2" s="1" t="s">
        <v>41</v>
      </c>
      <c r="D2" s="1" t="s">
        <v>42</v>
      </c>
    </row>
    <row r="3" spans="1:9" x14ac:dyDescent="0.3">
      <c r="A3" s="2" t="s">
        <v>34</v>
      </c>
      <c r="B3" s="2" t="s">
        <v>35</v>
      </c>
      <c r="C3" s="2">
        <f>_xlfn.IFS(B3="pur",$C$13,B3="sale",$C$14)</f>
        <v>6000</v>
      </c>
      <c r="D3" s="2"/>
    </row>
    <row r="4" spans="1:9" x14ac:dyDescent="0.3">
      <c r="A4" s="2" t="s">
        <v>8</v>
      </c>
      <c r="B4" s="2" t="s">
        <v>36</v>
      </c>
      <c r="C4" s="2">
        <f t="shared" ref="C4:C9" si="0">_xlfn.IFS(B4="pur",$C$13,B4="sale",$C$14)</f>
        <v>4500</v>
      </c>
      <c r="D4" s="2"/>
    </row>
    <row r="5" spans="1:9" x14ac:dyDescent="0.3">
      <c r="A5" s="2" t="s">
        <v>6</v>
      </c>
      <c r="B5" s="2" t="s">
        <v>35</v>
      </c>
      <c r="C5" s="2">
        <f t="shared" si="0"/>
        <v>6000</v>
      </c>
      <c r="D5" s="2"/>
    </row>
    <row r="6" spans="1:9" x14ac:dyDescent="0.3">
      <c r="A6" s="2" t="s">
        <v>37</v>
      </c>
      <c r="B6" s="2" t="s">
        <v>36</v>
      </c>
      <c r="C6" s="2">
        <f t="shared" si="0"/>
        <v>4500</v>
      </c>
      <c r="D6" s="2"/>
    </row>
    <row r="7" spans="1:9" x14ac:dyDescent="0.3">
      <c r="A7" s="2" t="s">
        <v>38</v>
      </c>
      <c r="B7" s="2" t="s">
        <v>35</v>
      </c>
      <c r="C7" s="2">
        <f t="shared" si="0"/>
        <v>6000</v>
      </c>
      <c r="D7" s="2"/>
    </row>
    <row r="8" spans="1:9" x14ac:dyDescent="0.3">
      <c r="A8" s="2" t="s">
        <v>39</v>
      </c>
      <c r="B8" s="2" t="s">
        <v>35</v>
      </c>
      <c r="C8" s="2">
        <f t="shared" si="0"/>
        <v>6000</v>
      </c>
      <c r="D8" s="2"/>
    </row>
    <row r="9" spans="1:9" x14ac:dyDescent="0.3">
      <c r="A9" s="2" t="s">
        <v>40</v>
      </c>
      <c r="B9" s="2" t="s">
        <v>36</v>
      </c>
      <c r="C9" s="2">
        <f t="shared" si="0"/>
        <v>4500</v>
      </c>
      <c r="D9" s="2"/>
    </row>
    <row r="12" spans="1:9" x14ac:dyDescent="0.3">
      <c r="A12" s="20" t="s">
        <v>43</v>
      </c>
      <c r="B12" s="20"/>
      <c r="C12" s="20"/>
      <c r="D12" s="20"/>
      <c r="F12" s="20" t="s">
        <v>44</v>
      </c>
      <c r="G12" s="20"/>
      <c r="H12" s="20"/>
      <c r="I12" s="20"/>
    </row>
    <row r="13" spans="1:9" x14ac:dyDescent="0.3">
      <c r="A13" s="21" t="s">
        <v>35</v>
      </c>
      <c r="B13" s="22"/>
      <c r="C13" s="21">
        <v>6000</v>
      </c>
      <c r="D13" s="22"/>
      <c r="F13" s="21" t="s">
        <v>35</v>
      </c>
      <c r="G13" s="22"/>
      <c r="H13" s="21">
        <v>8000</v>
      </c>
      <c r="I13" s="22"/>
    </row>
    <row r="14" spans="1:9" x14ac:dyDescent="0.3">
      <c r="A14" s="21" t="s">
        <v>36</v>
      </c>
      <c r="B14" s="22"/>
      <c r="C14" s="21">
        <v>4500</v>
      </c>
      <c r="D14" s="22"/>
      <c r="F14" s="21" t="s">
        <v>36</v>
      </c>
      <c r="G14" s="22"/>
      <c r="H14" s="21">
        <v>12000</v>
      </c>
      <c r="I14" s="22"/>
    </row>
  </sheetData>
  <mergeCells count="11">
    <mergeCell ref="F12:I12"/>
    <mergeCell ref="F13:G13"/>
    <mergeCell ref="H13:I13"/>
    <mergeCell ref="F14:G14"/>
    <mergeCell ref="H14:I14"/>
    <mergeCell ref="A1:D1"/>
    <mergeCell ref="A12:D12"/>
    <mergeCell ref="A13:B13"/>
    <mergeCell ref="A14:B14"/>
    <mergeCell ref="C13:D13"/>
    <mergeCell ref="C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3AB7-75DD-46CA-9A44-1E21C3F30C31}">
  <dimension ref="A1:I15"/>
  <sheetViews>
    <sheetView workbookViewId="0">
      <selection activeCell="G5" sqref="G5"/>
    </sheetView>
  </sheetViews>
  <sheetFormatPr defaultRowHeight="14.4" x14ac:dyDescent="0.3"/>
  <cols>
    <col min="4" max="4" width="11.5546875" customWidth="1"/>
    <col min="9" max="9" width="10.5546875" customWidth="1"/>
  </cols>
  <sheetData>
    <row r="1" spans="1:9" x14ac:dyDescent="0.3">
      <c r="A1" s="16" t="s">
        <v>48</v>
      </c>
      <c r="B1" s="16"/>
      <c r="C1" s="16"/>
      <c r="D1" s="16"/>
    </row>
    <row r="2" spans="1:9" x14ac:dyDescent="0.3">
      <c r="A2" s="1" t="s">
        <v>32</v>
      </c>
      <c r="B2" s="1" t="s">
        <v>33</v>
      </c>
      <c r="C2" s="1" t="s">
        <v>41</v>
      </c>
      <c r="D2" s="1" t="s">
        <v>42</v>
      </c>
    </row>
    <row r="3" spans="1:9" x14ac:dyDescent="0.3">
      <c r="A3" s="2" t="s">
        <v>34</v>
      </c>
      <c r="B3" s="2" t="s">
        <v>35</v>
      </c>
      <c r="C3" s="2">
        <f>_xlfn.IFS(B3="pur",$C$13,B3="sale",$C$14,B3="mkt",$C$15)</f>
        <v>8000</v>
      </c>
      <c r="D3" s="2"/>
    </row>
    <row r="4" spans="1:9" x14ac:dyDescent="0.3">
      <c r="A4" s="2" t="s">
        <v>8</v>
      </c>
      <c r="B4" s="2" t="s">
        <v>36</v>
      </c>
      <c r="C4" s="2">
        <f t="shared" ref="C4:C9" si="0">_xlfn.IFS(B4="pur",$C$13,B4="sale",$C$14,B4="mkt",$C$15)</f>
        <v>3500</v>
      </c>
      <c r="D4" s="2"/>
    </row>
    <row r="5" spans="1:9" x14ac:dyDescent="0.3">
      <c r="A5" s="2" t="s">
        <v>6</v>
      </c>
      <c r="B5" s="2" t="s">
        <v>46</v>
      </c>
      <c r="C5" s="2">
        <f t="shared" si="0"/>
        <v>4600</v>
      </c>
      <c r="D5" s="2"/>
    </row>
    <row r="6" spans="1:9" x14ac:dyDescent="0.3">
      <c r="A6" s="2" t="s">
        <v>37</v>
      </c>
      <c r="B6" s="2" t="s">
        <v>36</v>
      </c>
      <c r="C6" s="2">
        <f t="shared" si="0"/>
        <v>3500</v>
      </c>
      <c r="D6" s="2"/>
    </row>
    <row r="7" spans="1:9" x14ac:dyDescent="0.3">
      <c r="A7" s="2" t="s">
        <v>38</v>
      </c>
      <c r="B7" s="2" t="s">
        <v>35</v>
      </c>
      <c r="C7" s="2">
        <f t="shared" si="0"/>
        <v>8000</v>
      </c>
      <c r="D7" s="2"/>
    </row>
    <row r="8" spans="1:9" x14ac:dyDescent="0.3">
      <c r="A8" s="2" t="s">
        <v>39</v>
      </c>
      <c r="B8" s="2" t="s">
        <v>46</v>
      </c>
      <c r="C8" s="2">
        <f t="shared" si="0"/>
        <v>4600</v>
      </c>
      <c r="D8" s="2"/>
    </row>
    <row r="9" spans="1:9" x14ac:dyDescent="0.3">
      <c r="A9" s="2" t="s">
        <v>40</v>
      </c>
      <c r="B9" s="2" t="s">
        <v>36</v>
      </c>
      <c r="C9" s="2">
        <f t="shared" si="0"/>
        <v>3500</v>
      </c>
      <c r="D9" s="2"/>
    </row>
    <row r="12" spans="1:9" x14ac:dyDescent="0.3">
      <c r="A12" s="20" t="s">
        <v>43</v>
      </c>
      <c r="B12" s="20"/>
      <c r="C12" s="20"/>
      <c r="D12" s="20"/>
      <c r="F12" s="20" t="s">
        <v>47</v>
      </c>
      <c r="G12" s="20"/>
      <c r="H12" s="20"/>
      <c r="I12" s="20"/>
    </row>
    <row r="13" spans="1:9" x14ac:dyDescent="0.3">
      <c r="A13" s="20" t="s">
        <v>35</v>
      </c>
      <c r="B13" s="20"/>
      <c r="C13" s="20">
        <v>8000</v>
      </c>
      <c r="D13" s="20"/>
      <c r="F13" s="20" t="s">
        <v>35</v>
      </c>
      <c r="G13" s="20"/>
      <c r="H13" s="20">
        <v>20000</v>
      </c>
      <c r="I13" s="20"/>
    </row>
    <row r="14" spans="1:9" x14ac:dyDescent="0.3">
      <c r="A14" s="20" t="s">
        <v>36</v>
      </c>
      <c r="B14" s="20"/>
      <c r="C14" s="20">
        <v>3500</v>
      </c>
      <c r="D14" s="20"/>
      <c r="F14" s="20" t="s">
        <v>36</v>
      </c>
      <c r="G14" s="20"/>
      <c r="H14" s="20">
        <v>35000</v>
      </c>
      <c r="I14" s="20"/>
    </row>
    <row r="15" spans="1:9" x14ac:dyDescent="0.3">
      <c r="A15" s="20" t="s">
        <v>46</v>
      </c>
      <c r="B15" s="20"/>
      <c r="C15" s="20">
        <v>4600</v>
      </c>
      <c r="D15" s="20"/>
      <c r="F15" s="20" t="s">
        <v>46</v>
      </c>
      <c r="G15" s="20"/>
      <c r="H15" s="20">
        <v>48000</v>
      </c>
      <c r="I15" s="20"/>
    </row>
  </sheetData>
  <mergeCells count="15">
    <mergeCell ref="F15:G15"/>
    <mergeCell ref="H15:I15"/>
    <mergeCell ref="A12:D12"/>
    <mergeCell ref="A13:B13"/>
    <mergeCell ref="C13:D13"/>
    <mergeCell ref="A14:B14"/>
    <mergeCell ref="C14:D14"/>
    <mergeCell ref="A15:B15"/>
    <mergeCell ref="C15:D15"/>
    <mergeCell ref="A1:D1"/>
    <mergeCell ref="F12:I12"/>
    <mergeCell ref="F13:G13"/>
    <mergeCell ref="H13:I13"/>
    <mergeCell ref="F14:G14"/>
    <mergeCell ref="H14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32EA-2E3A-4C9F-AB19-0B2F60455EC3}">
  <dimension ref="A1:K16"/>
  <sheetViews>
    <sheetView workbookViewId="0">
      <selection activeCell="Q19" sqref="Q19"/>
    </sheetView>
  </sheetViews>
  <sheetFormatPr defaultRowHeight="14.4" x14ac:dyDescent="0.3"/>
  <sheetData>
    <row r="1" spans="1:11" x14ac:dyDescent="0.3">
      <c r="A1" s="16" t="s">
        <v>51</v>
      </c>
      <c r="B1" s="16"/>
      <c r="C1" s="16"/>
      <c r="D1" s="16"/>
      <c r="E1" s="16"/>
    </row>
    <row r="2" spans="1:11" x14ac:dyDescent="0.3">
      <c r="A2" s="1" t="s">
        <v>32</v>
      </c>
      <c r="B2" s="2" t="s">
        <v>33</v>
      </c>
      <c r="C2" s="1" t="s">
        <v>49</v>
      </c>
      <c r="D2" s="1" t="s">
        <v>50</v>
      </c>
      <c r="E2" s="1" t="s">
        <v>56</v>
      </c>
    </row>
    <row r="3" spans="1:11" x14ac:dyDescent="0.3">
      <c r="A3" s="2" t="s">
        <v>34</v>
      </c>
      <c r="B3" s="2" t="s">
        <v>36</v>
      </c>
      <c r="C3" s="2">
        <v>4500</v>
      </c>
      <c r="D3" s="2">
        <f>_xlfn.IFS(B3="sale",$C3*30%,B3="pur",$C3*35%,B3="mkt",$C3*40%)</f>
        <v>1350</v>
      </c>
      <c r="E3" s="2"/>
    </row>
    <row r="4" spans="1:11" x14ac:dyDescent="0.3">
      <c r="A4" s="2" t="s">
        <v>8</v>
      </c>
      <c r="B4" s="2" t="s">
        <v>35</v>
      </c>
      <c r="C4" s="2">
        <v>6500</v>
      </c>
      <c r="D4" s="2">
        <f t="shared" ref="D4:D9" si="0">_xlfn.IFS(B4="sale",$C4*30%,B4="pur",$C4*35%,B4="mkt",$C4*40%)</f>
        <v>2275</v>
      </c>
      <c r="E4" s="2"/>
    </row>
    <row r="5" spans="1:11" x14ac:dyDescent="0.3">
      <c r="A5" s="2" t="s">
        <v>6</v>
      </c>
      <c r="B5" s="2" t="s">
        <v>35</v>
      </c>
      <c r="C5" s="2">
        <v>1600</v>
      </c>
      <c r="D5" s="2">
        <f t="shared" si="0"/>
        <v>560</v>
      </c>
      <c r="E5" s="2"/>
    </row>
    <row r="6" spans="1:11" x14ac:dyDescent="0.3">
      <c r="A6" s="2" t="s">
        <v>37</v>
      </c>
      <c r="B6" s="2" t="s">
        <v>36</v>
      </c>
      <c r="C6" s="2">
        <v>7300</v>
      </c>
      <c r="D6" s="2">
        <f t="shared" si="0"/>
        <v>2190</v>
      </c>
      <c r="E6" s="2"/>
    </row>
    <row r="7" spans="1:11" x14ac:dyDescent="0.3">
      <c r="A7" s="2" t="s">
        <v>38</v>
      </c>
      <c r="B7" s="2" t="s">
        <v>46</v>
      </c>
      <c r="C7" s="2">
        <v>2400</v>
      </c>
      <c r="D7" s="2">
        <f>_xlfn.IFS(B7="sale",$C7*30%,B7="pur",$C7*35%,B7="mkt",$C7*40%)</f>
        <v>960</v>
      </c>
      <c r="E7" s="2"/>
    </row>
    <row r="8" spans="1:11" x14ac:dyDescent="0.3">
      <c r="A8" s="2" t="s">
        <v>39</v>
      </c>
      <c r="B8" s="2" t="s">
        <v>35</v>
      </c>
      <c r="C8" s="2">
        <v>4300</v>
      </c>
      <c r="D8" s="2">
        <f>_xlfn.IFS(B8="sale",$C8*30%,B8="pur",$C8*35%,B8="mkt",$C8*40%)</f>
        <v>1505</v>
      </c>
      <c r="E8" s="2"/>
    </row>
    <row r="9" spans="1:11" x14ac:dyDescent="0.3">
      <c r="A9" s="2" t="s">
        <v>40</v>
      </c>
      <c r="B9" s="2" t="s">
        <v>36</v>
      </c>
      <c r="C9" s="2">
        <v>6200</v>
      </c>
      <c r="D9" s="2">
        <f t="shared" si="0"/>
        <v>1860</v>
      </c>
      <c r="E9" s="2"/>
    </row>
    <row r="12" spans="1:11" x14ac:dyDescent="0.3">
      <c r="A12" s="20" t="s">
        <v>52</v>
      </c>
      <c r="B12" s="20"/>
      <c r="C12" s="20"/>
      <c r="D12" s="20"/>
      <c r="E12" s="20"/>
      <c r="G12" s="20" t="s">
        <v>57</v>
      </c>
      <c r="H12" s="20"/>
      <c r="I12" s="20"/>
      <c r="J12" s="20"/>
      <c r="K12" s="20"/>
    </row>
    <row r="13" spans="1:11" x14ac:dyDescent="0.3">
      <c r="A13" s="20" t="s">
        <v>33</v>
      </c>
      <c r="B13" s="20"/>
      <c r="C13" s="20" t="s">
        <v>50</v>
      </c>
      <c r="D13" s="20"/>
      <c r="E13" s="20"/>
      <c r="G13" s="20" t="s">
        <v>33</v>
      </c>
      <c r="H13" s="20"/>
      <c r="I13" s="20" t="s">
        <v>56</v>
      </c>
      <c r="J13" s="20"/>
      <c r="K13" s="20"/>
    </row>
    <row r="14" spans="1:11" x14ac:dyDescent="0.3">
      <c r="A14" s="20" t="s">
        <v>36</v>
      </c>
      <c r="B14" s="20"/>
      <c r="C14" s="20" t="s">
        <v>53</v>
      </c>
      <c r="D14" s="20"/>
      <c r="E14" s="20"/>
      <c r="G14" s="20" t="s">
        <v>36</v>
      </c>
      <c r="H14" s="20"/>
      <c r="I14" s="20" t="s">
        <v>58</v>
      </c>
      <c r="J14" s="20"/>
      <c r="K14" s="20"/>
    </row>
    <row r="15" spans="1:11" x14ac:dyDescent="0.3">
      <c r="A15" s="20" t="s">
        <v>35</v>
      </c>
      <c r="B15" s="20"/>
      <c r="C15" s="20" t="s">
        <v>54</v>
      </c>
      <c r="D15" s="20"/>
      <c r="E15" s="20"/>
      <c r="G15" s="20" t="s">
        <v>35</v>
      </c>
      <c r="H15" s="20"/>
      <c r="I15" s="20" t="s">
        <v>59</v>
      </c>
      <c r="J15" s="20"/>
      <c r="K15" s="20"/>
    </row>
    <row r="16" spans="1:11" x14ac:dyDescent="0.3">
      <c r="A16" s="20" t="s">
        <v>46</v>
      </c>
      <c r="B16" s="20"/>
      <c r="C16" s="20" t="s">
        <v>55</v>
      </c>
      <c r="D16" s="20"/>
      <c r="E16" s="20"/>
      <c r="G16" s="20" t="s">
        <v>46</v>
      </c>
      <c r="H16" s="20"/>
      <c r="I16" s="20" t="s">
        <v>60</v>
      </c>
      <c r="J16" s="20"/>
      <c r="K16" s="20"/>
    </row>
  </sheetData>
  <mergeCells count="19">
    <mergeCell ref="A1:E1"/>
    <mergeCell ref="A12:E12"/>
    <mergeCell ref="A13:B13"/>
    <mergeCell ref="C13:E13"/>
    <mergeCell ref="A14:B14"/>
    <mergeCell ref="C14:E14"/>
    <mergeCell ref="G12:K12"/>
    <mergeCell ref="G13:H13"/>
    <mergeCell ref="I13:K13"/>
    <mergeCell ref="G14:H14"/>
    <mergeCell ref="I14:K14"/>
    <mergeCell ref="I15:K15"/>
    <mergeCell ref="G16:H16"/>
    <mergeCell ref="I16:K16"/>
    <mergeCell ref="A15:B15"/>
    <mergeCell ref="C15:E15"/>
    <mergeCell ref="A16:B16"/>
    <mergeCell ref="C16:E16"/>
    <mergeCell ref="G15:H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226E-4E74-4569-914F-862223C016CF}">
  <dimension ref="A1:F17"/>
  <sheetViews>
    <sheetView workbookViewId="0">
      <selection activeCell="F3" sqref="F3"/>
    </sheetView>
  </sheetViews>
  <sheetFormatPr defaultRowHeight="14.4" x14ac:dyDescent="0.3"/>
  <cols>
    <col min="1" max="1" width="22.77734375" bestFit="1" customWidth="1"/>
    <col min="2" max="3" width="10.44140625" bestFit="1" customWidth="1"/>
    <col min="4" max="4" width="5.77734375" bestFit="1" customWidth="1"/>
    <col min="5" max="5" width="15.109375" bestFit="1" customWidth="1"/>
    <col min="6" max="6" width="8.88671875" bestFit="1" customWidth="1"/>
  </cols>
  <sheetData>
    <row r="1" spans="1:6" x14ac:dyDescent="0.3">
      <c r="A1" s="16" t="s">
        <v>74</v>
      </c>
      <c r="B1" s="16"/>
      <c r="C1" s="16"/>
      <c r="D1" s="16"/>
      <c r="E1" s="16"/>
      <c r="F1" s="16"/>
    </row>
    <row r="2" spans="1:6" x14ac:dyDescent="0.3">
      <c r="A2" s="2" t="s">
        <v>61</v>
      </c>
      <c r="B2" s="2" t="s">
        <v>0</v>
      </c>
      <c r="C2" s="2" t="s">
        <v>62</v>
      </c>
      <c r="D2" s="2" t="s">
        <v>63</v>
      </c>
      <c r="E2" s="2" t="s">
        <v>64</v>
      </c>
      <c r="F2" s="2" t="s">
        <v>65</v>
      </c>
    </row>
    <row r="3" spans="1:6" x14ac:dyDescent="0.3">
      <c r="A3" s="2" t="s">
        <v>66</v>
      </c>
      <c r="B3" s="2" t="s">
        <v>67</v>
      </c>
      <c r="C3" s="2"/>
      <c r="D3" s="2">
        <v>26500</v>
      </c>
      <c r="E3" s="2"/>
      <c r="F3" s="2"/>
    </row>
    <row r="4" spans="1:6" x14ac:dyDescent="0.3">
      <c r="A4" s="2" t="s">
        <v>68</v>
      </c>
      <c r="B4" s="2" t="s">
        <v>69</v>
      </c>
      <c r="C4" s="2"/>
      <c r="D4" s="2">
        <v>16000</v>
      </c>
      <c r="E4" s="2"/>
      <c r="F4" s="2"/>
    </row>
    <row r="5" spans="1:6" x14ac:dyDescent="0.3">
      <c r="A5" s="2" t="s">
        <v>70</v>
      </c>
      <c r="B5" s="2" t="s">
        <v>71</v>
      </c>
      <c r="C5" s="2"/>
      <c r="D5" s="2">
        <v>34200</v>
      </c>
      <c r="E5" s="2"/>
      <c r="F5" s="2"/>
    </row>
    <row r="6" spans="1:6" x14ac:dyDescent="0.3">
      <c r="A6" s="2" t="s">
        <v>72</v>
      </c>
      <c r="B6" s="2" t="s">
        <v>73</v>
      </c>
      <c r="C6" s="2"/>
      <c r="D6" s="2">
        <v>18600</v>
      </c>
      <c r="E6" s="2"/>
      <c r="F6" s="2"/>
    </row>
    <row r="9" spans="1:6" x14ac:dyDescent="0.3">
      <c r="A9" s="23" t="s">
        <v>75</v>
      </c>
      <c r="B9" s="24"/>
      <c r="C9" s="24"/>
      <c r="D9" s="24"/>
      <c r="E9" s="24"/>
      <c r="F9" s="24"/>
    </row>
    <row r="10" spans="1:6" x14ac:dyDescent="0.3">
      <c r="A10" s="6" t="s">
        <v>76</v>
      </c>
      <c r="B10" s="7" t="s">
        <v>62</v>
      </c>
    </row>
    <row r="11" spans="1:6" x14ac:dyDescent="0.3">
      <c r="A11" s="6" t="s">
        <v>77</v>
      </c>
      <c r="B11" s="7" t="s">
        <v>78</v>
      </c>
    </row>
    <row r="12" spans="1:6" x14ac:dyDescent="0.3">
      <c r="A12" s="6" t="s">
        <v>79</v>
      </c>
      <c r="B12" s="7" t="s">
        <v>80</v>
      </c>
    </row>
    <row r="13" spans="1:6" x14ac:dyDescent="0.3">
      <c r="A13" s="6" t="s">
        <v>81</v>
      </c>
      <c r="B13" s="7" t="s">
        <v>82</v>
      </c>
    </row>
    <row r="14" spans="1:6" x14ac:dyDescent="0.3">
      <c r="A14" s="3"/>
      <c r="B14" s="3"/>
    </row>
    <row r="15" spans="1:6" x14ac:dyDescent="0.3">
      <c r="A15" s="23" t="s">
        <v>83</v>
      </c>
      <c r="B15" s="24"/>
      <c r="C15" s="24"/>
      <c r="D15" s="24"/>
      <c r="E15" s="24"/>
      <c r="F15" s="24"/>
    </row>
    <row r="16" spans="1:6" x14ac:dyDescent="0.3">
      <c r="A16" s="3"/>
      <c r="B16" s="3"/>
    </row>
    <row r="17" spans="1:6" x14ac:dyDescent="0.3">
      <c r="A17" s="23" t="s">
        <v>84</v>
      </c>
      <c r="B17" s="24"/>
      <c r="C17" s="24"/>
      <c r="D17" s="24"/>
      <c r="E17" s="24"/>
      <c r="F17" s="24"/>
    </row>
  </sheetData>
  <mergeCells count="4">
    <mergeCell ref="A1:F1"/>
    <mergeCell ref="A9:F9"/>
    <mergeCell ref="A17:F17"/>
    <mergeCell ref="A15:F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5FE0-2055-4FAC-AE09-03AEB144E1C7}">
  <dimension ref="A1:J16"/>
  <sheetViews>
    <sheetView workbookViewId="0">
      <selection activeCell="L15" sqref="L15"/>
    </sheetView>
  </sheetViews>
  <sheetFormatPr defaultRowHeight="14.4" x14ac:dyDescent="0.3"/>
  <cols>
    <col min="1" max="1" width="16.6640625" bestFit="1" customWidth="1"/>
    <col min="2" max="2" width="9.109375" customWidth="1"/>
    <col min="3" max="3" width="6.77734375" bestFit="1" customWidth="1"/>
    <col min="4" max="4" width="8" bestFit="1" customWidth="1"/>
    <col min="5" max="5" width="6.77734375" bestFit="1" customWidth="1"/>
    <col min="6" max="6" width="7" bestFit="1" customWidth="1"/>
    <col min="7" max="7" width="9.33203125" bestFit="1" customWidth="1"/>
    <col min="8" max="8" width="13.5546875" bestFit="1" customWidth="1"/>
    <col min="9" max="9" width="7" bestFit="1" customWidth="1"/>
    <col min="10" max="10" width="10.109375" bestFit="1" customWidth="1"/>
  </cols>
  <sheetData>
    <row r="1" spans="1:10" x14ac:dyDescent="0.3">
      <c r="A1" s="16" t="s">
        <v>100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">
      <c r="A2" s="2" t="s">
        <v>85</v>
      </c>
      <c r="B2" s="2" t="s">
        <v>86</v>
      </c>
      <c r="C2" s="2" t="s">
        <v>49</v>
      </c>
      <c r="D2" s="2" t="s">
        <v>50</v>
      </c>
      <c r="E2" s="2" t="s">
        <v>87</v>
      </c>
      <c r="F2" s="2" t="s">
        <v>88</v>
      </c>
      <c r="G2" s="36" t="s">
        <v>89</v>
      </c>
      <c r="H2" s="2" t="s">
        <v>90</v>
      </c>
      <c r="I2" s="2" t="s">
        <v>91</v>
      </c>
      <c r="J2" s="2" t="s">
        <v>92</v>
      </c>
    </row>
    <row r="3" spans="1:10" x14ac:dyDescent="0.3">
      <c r="A3" s="2" t="s">
        <v>93</v>
      </c>
      <c r="B3" s="2" t="s">
        <v>94</v>
      </c>
      <c r="C3" s="2">
        <v>345000</v>
      </c>
      <c r="D3" s="2">
        <f>IF(B3="kolkata",$C3*35%,$C3*30%)</f>
        <v>120749.99999999999</v>
      </c>
      <c r="E3" s="2">
        <v>80000</v>
      </c>
      <c r="F3" s="2">
        <f>SUM(C3:E3)</f>
        <v>545750</v>
      </c>
      <c r="G3" s="36">
        <f>MIN($C3*50%,$E3*50%)</f>
        <v>40000</v>
      </c>
      <c r="H3" s="2">
        <f>$F3-$G3</f>
        <v>505750</v>
      </c>
      <c r="I3" s="2">
        <f>IF($H3&lt;200000,0,IF($H3&lt;500000,$H3*10%,IF($H3&lt;1000000,$H3*20%,$H3*30%)))</f>
        <v>101150</v>
      </c>
      <c r="J3" s="2">
        <f>$H3-$I3</f>
        <v>404600</v>
      </c>
    </row>
    <row r="4" spans="1:10" x14ac:dyDescent="0.3">
      <c r="A4" s="2" t="s">
        <v>95</v>
      </c>
      <c r="B4" s="2" t="s">
        <v>96</v>
      </c>
      <c r="C4" s="2">
        <v>652000</v>
      </c>
      <c r="D4" s="2">
        <f t="shared" ref="D4:D6" si="0">IF(B4="kolkata",$C4*35%,$C4*30%)</f>
        <v>195600</v>
      </c>
      <c r="E4" s="2">
        <v>124000</v>
      </c>
      <c r="F4" s="2">
        <f>SUM(C4:E4)</f>
        <v>971600</v>
      </c>
      <c r="G4" s="36">
        <f t="shared" ref="G4:G6" si="1">MIN($C4*50%,$E4*50%)</f>
        <v>62000</v>
      </c>
      <c r="H4" s="2">
        <f t="shared" ref="H4:H6" si="2">$F4-$G4</f>
        <v>909600</v>
      </c>
      <c r="I4" s="2">
        <f t="shared" ref="I4:I6" si="3">IF($H4&lt;200000,0,IF($H4&lt;500000,$H4*10%,IF($H4&lt;1000000,$H4*20%,$H4*30%)))</f>
        <v>181920</v>
      </c>
      <c r="J4" s="2">
        <f t="shared" ref="J4:J6" si="4">$H4-$I4</f>
        <v>727680</v>
      </c>
    </row>
    <row r="5" spans="1:10" x14ac:dyDescent="0.3">
      <c r="A5" s="2" t="s">
        <v>97</v>
      </c>
      <c r="B5" s="2" t="s">
        <v>98</v>
      </c>
      <c r="C5" s="2">
        <v>362000</v>
      </c>
      <c r="D5" s="2">
        <f t="shared" si="0"/>
        <v>108600</v>
      </c>
      <c r="E5" s="2">
        <v>65000</v>
      </c>
      <c r="F5" s="2">
        <f>SUM(C5:E5)</f>
        <v>535600</v>
      </c>
      <c r="G5" s="36">
        <f t="shared" si="1"/>
        <v>32500</v>
      </c>
      <c r="H5" s="2">
        <f t="shared" si="2"/>
        <v>503100</v>
      </c>
      <c r="I5" s="2">
        <f t="shared" si="3"/>
        <v>100620</v>
      </c>
      <c r="J5" s="2">
        <f t="shared" si="4"/>
        <v>402480</v>
      </c>
    </row>
    <row r="6" spans="1:10" x14ac:dyDescent="0.3">
      <c r="A6" s="2" t="s">
        <v>99</v>
      </c>
      <c r="B6" s="2" t="s">
        <v>94</v>
      </c>
      <c r="C6" s="2">
        <v>425000</v>
      </c>
      <c r="D6" s="2">
        <f t="shared" si="0"/>
        <v>148750</v>
      </c>
      <c r="E6" s="2">
        <v>165000</v>
      </c>
      <c r="F6" s="2">
        <f>SUM(C6:E6)</f>
        <v>738750</v>
      </c>
      <c r="G6" s="36">
        <f t="shared" si="1"/>
        <v>82500</v>
      </c>
      <c r="H6" s="2">
        <f t="shared" si="2"/>
        <v>656250</v>
      </c>
      <c r="I6" s="2">
        <f>IF($H6&lt;200000,0,IF($H6&lt;500000,$H6*10%,IF($H6&lt;1000000,$H6*20%,$H6*30%)))</f>
        <v>131250</v>
      </c>
      <c r="J6" s="2">
        <f t="shared" si="4"/>
        <v>525000</v>
      </c>
    </row>
    <row r="7" spans="1:10" x14ac:dyDescent="0.3">
      <c r="F7" s="2"/>
    </row>
    <row r="8" spans="1:10" x14ac:dyDescent="0.3">
      <c r="A8" s="25" t="s">
        <v>101</v>
      </c>
      <c r="B8" s="25"/>
      <c r="C8" s="25"/>
      <c r="D8" s="25"/>
      <c r="E8" s="25"/>
      <c r="F8" s="25"/>
      <c r="G8" s="25"/>
      <c r="H8" s="25"/>
      <c r="I8" s="25"/>
      <c r="J8" s="25"/>
    </row>
    <row r="9" spans="1:10" x14ac:dyDescent="0.3">
      <c r="A9" s="25" t="s">
        <v>102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x14ac:dyDescent="0.3">
      <c r="A10" s="25" t="s">
        <v>103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0" x14ac:dyDescent="0.3">
      <c r="A11" s="25" t="s">
        <v>104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x14ac:dyDescent="0.3">
      <c r="A12" s="1" t="s">
        <v>109</v>
      </c>
      <c r="B12" s="1"/>
    </row>
    <row r="13" spans="1:10" x14ac:dyDescent="0.3">
      <c r="A13" s="6" t="s">
        <v>105</v>
      </c>
      <c r="B13" s="8">
        <v>0</v>
      </c>
    </row>
    <row r="14" spans="1:10" x14ac:dyDescent="0.3">
      <c r="A14" s="6" t="s">
        <v>106</v>
      </c>
      <c r="B14" s="8">
        <v>0.1</v>
      </c>
    </row>
    <row r="15" spans="1:10" x14ac:dyDescent="0.3">
      <c r="A15" s="1" t="s">
        <v>107</v>
      </c>
      <c r="B15" s="8">
        <v>0.2</v>
      </c>
    </row>
    <row r="16" spans="1:10" x14ac:dyDescent="0.3">
      <c r="A16" s="1" t="s">
        <v>108</v>
      </c>
      <c r="B16" s="8">
        <v>0.3</v>
      </c>
    </row>
  </sheetData>
  <mergeCells count="5">
    <mergeCell ref="A1:J1"/>
    <mergeCell ref="A8:J8"/>
    <mergeCell ref="A9:J9"/>
    <mergeCell ref="A10:J10"/>
    <mergeCell ref="A11:J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9312-B450-4C1D-A7FB-2C9C2B80C319}">
  <dimension ref="A1:G13"/>
  <sheetViews>
    <sheetView workbookViewId="0">
      <selection activeCell="I8" sqref="I8"/>
    </sheetView>
  </sheetViews>
  <sheetFormatPr defaultRowHeight="14.4" x14ac:dyDescent="0.3"/>
  <cols>
    <col min="1" max="1" width="15" bestFit="1" customWidth="1"/>
    <col min="2" max="2" width="8.5546875" bestFit="1" customWidth="1"/>
    <col min="3" max="5" width="6.77734375" bestFit="1" customWidth="1"/>
    <col min="6" max="6" width="10.88671875" customWidth="1"/>
    <col min="7" max="7" width="10.77734375" bestFit="1" customWidth="1"/>
  </cols>
  <sheetData>
    <row r="1" spans="1:7" x14ac:dyDescent="0.3">
      <c r="A1" s="16" t="s">
        <v>127</v>
      </c>
      <c r="B1" s="16"/>
      <c r="C1" s="16"/>
      <c r="D1" s="16"/>
      <c r="E1" s="16"/>
      <c r="F1" s="16"/>
      <c r="G1" s="16"/>
    </row>
    <row r="2" spans="1:7" x14ac:dyDescent="0.3">
      <c r="A2" s="2" t="s">
        <v>110</v>
      </c>
      <c r="B2" s="2" t="s">
        <v>111</v>
      </c>
      <c r="C2" s="2" t="s">
        <v>112</v>
      </c>
      <c r="D2" s="2" t="s">
        <v>113</v>
      </c>
      <c r="E2" s="2" t="s">
        <v>114</v>
      </c>
      <c r="F2" s="2" t="s">
        <v>215</v>
      </c>
      <c r="G2" s="2" t="s">
        <v>115</v>
      </c>
    </row>
    <row r="3" spans="1:7" x14ac:dyDescent="0.3">
      <c r="A3" s="2" t="s">
        <v>116</v>
      </c>
      <c r="B3" s="2" t="s">
        <v>94</v>
      </c>
      <c r="C3" s="2">
        <v>90300</v>
      </c>
      <c r="D3" s="2">
        <v>79102</v>
      </c>
      <c r="E3" s="2">
        <v>90361</v>
      </c>
      <c r="F3" s="2">
        <f>SUM(C3:E3)</f>
        <v>259763</v>
      </c>
      <c r="G3" s="2">
        <f>IF(F3&gt;250000,5%*F3,IF(AND(F3&gt;=200000,F3&lt;=250000),2%*F3,"nil"))</f>
        <v>12988.150000000001</v>
      </c>
    </row>
    <row r="4" spans="1:7" x14ac:dyDescent="0.3">
      <c r="A4" s="2" t="s">
        <v>117</v>
      </c>
      <c r="B4" s="2" t="s">
        <v>118</v>
      </c>
      <c r="C4" s="2">
        <v>88377</v>
      </c>
      <c r="D4" s="2">
        <v>118865</v>
      </c>
      <c r="E4" s="2">
        <v>87339</v>
      </c>
      <c r="F4" s="2">
        <f t="shared" ref="F4:F9" si="0">SUM(C4:E4)</f>
        <v>294581</v>
      </c>
      <c r="G4" s="2">
        <f t="shared" ref="G4:G9" si="1">IF(F4&gt;250000,5%*F4,IF(AND(F4&gt;=200000,F4&lt;=250000),2%*F4,"nil"))</f>
        <v>14729.050000000001</v>
      </c>
    </row>
    <row r="5" spans="1:7" x14ac:dyDescent="0.3">
      <c r="A5" s="2" t="s">
        <v>119</v>
      </c>
      <c r="B5" s="2" t="s">
        <v>94</v>
      </c>
      <c r="C5" s="2">
        <v>79026</v>
      </c>
      <c r="D5" s="2">
        <v>122713</v>
      </c>
      <c r="E5" s="2">
        <v>98244</v>
      </c>
      <c r="F5" s="2">
        <f t="shared" si="0"/>
        <v>299983</v>
      </c>
      <c r="G5" s="2">
        <f t="shared" si="1"/>
        <v>14999.150000000001</v>
      </c>
    </row>
    <row r="6" spans="1:7" x14ac:dyDescent="0.3">
      <c r="A6" s="2" t="s">
        <v>120</v>
      </c>
      <c r="B6" s="2" t="s">
        <v>121</v>
      </c>
      <c r="C6" s="2">
        <v>109585</v>
      </c>
      <c r="D6" s="2">
        <v>95616</v>
      </c>
      <c r="E6" s="2">
        <v>115294</v>
      </c>
      <c r="F6" s="2">
        <f t="shared" si="0"/>
        <v>320495</v>
      </c>
      <c r="G6" s="2">
        <f t="shared" si="1"/>
        <v>16024.75</v>
      </c>
    </row>
    <row r="7" spans="1:7" x14ac:dyDescent="0.3">
      <c r="A7" s="2" t="s">
        <v>122</v>
      </c>
      <c r="B7" s="2" t="s">
        <v>121</v>
      </c>
      <c r="C7" s="2">
        <v>114270</v>
      </c>
      <c r="D7" s="2">
        <v>85038</v>
      </c>
      <c r="E7" s="2">
        <v>83458</v>
      </c>
      <c r="F7" s="2">
        <f t="shared" si="0"/>
        <v>282766</v>
      </c>
      <c r="G7" s="2">
        <f t="shared" si="1"/>
        <v>14138.300000000001</v>
      </c>
    </row>
    <row r="8" spans="1:7" x14ac:dyDescent="0.3">
      <c r="A8" s="2" t="s">
        <v>123</v>
      </c>
      <c r="B8" s="2" t="s">
        <v>94</v>
      </c>
      <c r="C8" s="2">
        <v>84027</v>
      </c>
      <c r="D8" s="2">
        <v>84183</v>
      </c>
      <c r="E8" s="2">
        <v>101240</v>
      </c>
      <c r="F8" s="2">
        <f t="shared" si="0"/>
        <v>269450</v>
      </c>
      <c r="G8" s="2">
        <f t="shared" si="1"/>
        <v>13472.5</v>
      </c>
    </row>
    <row r="9" spans="1:7" x14ac:dyDescent="0.3">
      <c r="A9" s="2" t="s">
        <v>124</v>
      </c>
      <c r="B9" s="2" t="s">
        <v>118</v>
      </c>
      <c r="C9" s="2">
        <v>107091</v>
      </c>
      <c r="D9" s="2">
        <v>67190</v>
      </c>
      <c r="E9" s="2">
        <v>103786</v>
      </c>
      <c r="F9" s="2">
        <f t="shared" si="0"/>
        <v>278067</v>
      </c>
      <c r="G9" s="2">
        <f t="shared" si="1"/>
        <v>13903.35</v>
      </c>
    </row>
    <row r="11" spans="1:7" x14ac:dyDescent="0.3">
      <c r="A11" s="26" t="s">
        <v>125</v>
      </c>
      <c r="B11" s="26"/>
      <c r="C11" s="26"/>
      <c r="D11" s="26"/>
      <c r="E11" s="26"/>
      <c r="F11" s="26"/>
      <c r="G11" s="27"/>
    </row>
    <row r="12" spans="1:7" x14ac:dyDescent="0.3">
      <c r="A12" s="28"/>
      <c r="B12" s="28"/>
      <c r="C12" s="28"/>
      <c r="D12" s="28"/>
      <c r="E12" s="28"/>
      <c r="F12" s="28"/>
      <c r="G12" s="29"/>
    </row>
    <row r="13" spans="1:7" x14ac:dyDescent="0.3">
      <c r="A13" s="30" t="s">
        <v>126</v>
      </c>
      <c r="B13" s="31"/>
      <c r="C13" s="31"/>
      <c r="D13" s="31"/>
      <c r="E13" s="31"/>
      <c r="F13" s="31"/>
      <c r="G13" s="32"/>
    </row>
  </sheetData>
  <mergeCells count="3">
    <mergeCell ref="A1:G1"/>
    <mergeCell ref="A11:G12"/>
    <mergeCell ref="A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2128-588B-43AB-B339-80035E09CCB0}">
  <dimension ref="A1:E14"/>
  <sheetViews>
    <sheetView workbookViewId="0">
      <selection activeCell="A10" sqref="A10:E10"/>
    </sheetView>
  </sheetViews>
  <sheetFormatPr defaultRowHeight="14.4" x14ac:dyDescent="0.3"/>
  <cols>
    <col min="1" max="1" width="21.21875" bestFit="1" customWidth="1"/>
    <col min="2" max="2" width="5.77734375" bestFit="1" customWidth="1"/>
    <col min="3" max="3" width="10.88671875" bestFit="1" customWidth="1"/>
    <col min="4" max="4" width="9.77734375" bestFit="1" customWidth="1"/>
    <col min="5" max="5" width="8.5546875" customWidth="1"/>
  </cols>
  <sheetData>
    <row r="1" spans="1:5" x14ac:dyDescent="0.3">
      <c r="A1" s="16" t="s">
        <v>144</v>
      </c>
      <c r="B1" s="16"/>
      <c r="C1" s="16"/>
      <c r="D1" s="16"/>
      <c r="E1" s="16"/>
    </row>
    <row r="2" spans="1:5" x14ac:dyDescent="0.3">
      <c r="A2" s="9" t="s">
        <v>128</v>
      </c>
      <c r="B2" s="9" t="s">
        <v>32</v>
      </c>
      <c r="C2" s="9" t="s">
        <v>129</v>
      </c>
      <c r="D2" s="9" t="s">
        <v>130</v>
      </c>
      <c r="E2" s="9" t="s">
        <v>49</v>
      </c>
    </row>
    <row r="3" spans="1:5" ht="21" x14ac:dyDescent="0.4">
      <c r="A3" s="9" t="s">
        <v>131</v>
      </c>
      <c r="B3" s="9" t="s">
        <v>132</v>
      </c>
      <c r="C3" s="9" t="s">
        <v>46</v>
      </c>
      <c r="D3" s="10">
        <v>40675</v>
      </c>
      <c r="E3" s="11"/>
    </row>
    <row r="4" spans="1:5" ht="21" x14ac:dyDescent="0.4">
      <c r="A4" s="9" t="s">
        <v>133</v>
      </c>
      <c r="B4" s="9" t="s">
        <v>134</v>
      </c>
      <c r="C4" s="9" t="s">
        <v>135</v>
      </c>
      <c r="D4" s="10">
        <v>39631</v>
      </c>
      <c r="E4" s="11"/>
    </row>
    <row r="5" spans="1:5" ht="21" x14ac:dyDescent="0.4">
      <c r="A5" s="9" t="s">
        <v>136</v>
      </c>
      <c r="B5" s="9" t="s">
        <v>137</v>
      </c>
      <c r="C5" s="9" t="s">
        <v>46</v>
      </c>
      <c r="D5" s="10">
        <v>41142</v>
      </c>
      <c r="E5" s="11"/>
    </row>
    <row r="6" spans="1:5" ht="21" x14ac:dyDescent="0.4">
      <c r="A6" s="9" t="s">
        <v>138</v>
      </c>
      <c r="B6" s="9" t="s">
        <v>139</v>
      </c>
      <c r="C6" s="9" t="s">
        <v>46</v>
      </c>
      <c r="D6" s="10">
        <v>40246</v>
      </c>
      <c r="E6" s="11"/>
    </row>
    <row r="7" spans="1:5" ht="21" x14ac:dyDescent="0.4">
      <c r="A7" s="9" t="s">
        <v>140</v>
      </c>
      <c r="B7" s="9" t="s">
        <v>141</v>
      </c>
      <c r="C7" s="9" t="s">
        <v>135</v>
      </c>
      <c r="D7" s="10">
        <v>41508</v>
      </c>
      <c r="E7" s="11"/>
    </row>
    <row r="8" spans="1:5" ht="21" x14ac:dyDescent="0.4">
      <c r="A8" s="9" t="s">
        <v>142</v>
      </c>
      <c r="B8" s="9" t="s">
        <v>143</v>
      </c>
      <c r="C8" s="9" t="s">
        <v>46</v>
      </c>
      <c r="D8" s="10">
        <v>41079</v>
      </c>
      <c r="E8" s="11"/>
    </row>
    <row r="10" spans="1:5" x14ac:dyDescent="0.3">
      <c r="A10" s="23" t="s">
        <v>145</v>
      </c>
      <c r="B10" s="24"/>
      <c r="C10" s="24"/>
      <c r="D10" s="24"/>
      <c r="E10" s="24"/>
    </row>
    <row r="11" spans="1:5" x14ac:dyDescent="0.3">
      <c r="A11" s="1" t="s">
        <v>146</v>
      </c>
      <c r="B11" s="1" t="s">
        <v>49</v>
      </c>
    </row>
    <row r="12" spans="1:5" x14ac:dyDescent="0.3">
      <c r="A12" s="1" t="s">
        <v>147</v>
      </c>
      <c r="B12" s="1">
        <v>15000</v>
      </c>
    </row>
    <row r="13" spans="1:5" x14ac:dyDescent="0.3">
      <c r="A13" s="1" t="s">
        <v>148</v>
      </c>
      <c r="B13" s="1">
        <v>12000</v>
      </c>
    </row>
    <row r="14" spans="1:5" x14ac:dyDescent="0.3">
      <c r="A14" s="1" t="s">
        <v>149</v>
      </c>
      <c r="B14" s="1">
        <v>10000</v>
      </c>
    </row>
  </sheetData>
  <mergeCells count="2">
    <mergeCell ref="A1:E1"/>
    <mergeCell ref="A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509D-AE47-4DAF-9B29-C37C48825FFF}">
  <dimension ref="A1:D10"/>
  <sheetViews>
    <sheetView workbookViewId="0">
      <selection activeCell="D3" sqref="D3:D5"/>
    </sheetView>
  </sheetViews>
  <sheetFormatPr defaultRowHeight="14.4" x14ac:dyDescent="0.3"/>
  <cols>
    <col min="1" max="1" width="17.6640625" bestFit="1" customWidth="1"/>
    <col min="2" max="2" width="11.77734375" bestFit="1" customWidth="1"/>
    <col min="3" max="3" width="5.77734375" bestFit="1" customWidth="1"/>
    <col min="4" max="4" width="17.33203125" customWidth="1"/>
  </cols>
  <sheetData>
    <row r="1" spans="1:4" x14ac:dyDescent="0.3">
      <c r="A1" s="16" t="s">
        <v>166</v>
      </c>
      <c r="B1" s="16"/>
      <c r="C1" s="16"/>
      <c r="D1" s="16"/>
    </row>
    <row r="2" spans="1:4" x14ac:dyDescent="0.3">
      <c r="A2" s="2" t="s">
        <v>150</v>
      </c>
      <c r="B2" s="2" t="s">
        <v>151</v>
      </c>
      <c r="C2" s="2" t="s">
        <v>152</v>
      </c>
      <c r="D2" s="2" t="s">
        <v>153</v>
      </c>
    </row>
    <row r="3" spans="1:4" x14ac:dyDescent="0.3">
      <c r="A3" s="2" t="s">
        <v>154</v>
      </c>
      <c r="B3" s="2" t="s">
        <v>155</v>
      </c>
      <c r="C3" s="2">
        <v>24000</v>
      </c>
      <c r="D3" s="2">
        <f>IF(C3&lt;30000,4,IF(AND(C3&gt;=30001,C3&lt;=50000),6,IF(C3&gt;50000,8)))</f>
        <v>4</v>
      </c>
    </row>
    <row r="4" spans="1:4" x14ac:dyDescent="0.3">
      <c r="A4" s="2" t="s">
        <v>141</v>
      </c>
      <c r="B4" s="2" t="s">
        <v>156</v>
      </c>
      <c r="C4" s="2">
        <v>85000</v>
      </c>
      <c r="D4" s="2">
        <f t="shared" ref="D4:D5" si="0">IF(C4&lt;30000,4,IF(AND(C4&gt;=30001,C4&lt;=50000),6,IF(C4&gt;50000,8)))</f>
        <v>8</v>
      </c>
    </row>
    <row r="5" spans="1:4" x14ac:dyDescent="0.3">
      <c r="A5" s="2" t="s">
        <v>157</v>
      </c>
      <c r="B5" s="2" t="s">
        <v>158</v>
      </c>
      <c r="C5" s="2">
        <v>49000</v>
      </c>
      <c r="D5" s="2">
        <f t="shared" si="0"/>
        <v>6</v>
      </c>
    </row>
    <row r="7" spans="1:4" x14ac:dyDescent="0.3">
      <c r="A7" s="23" t="s">
        <v>159</v>
      </c>
      <c r="B7" s="24"/>
      <c r="C7" s="24"/>
      <c r="D7" s="24"/>
    </row>
    <row r="8" spans="1:4" x14ac:dyDescent="0.3">
      <c r="A8" s="6" t="s">
        <v>160</v>
      </c>
      <c r="B8" s="6" t="s">
        <v>161</v>
      </c>
    </row>
    <row r="9" spans="1:4" x14ac:dyDescent="0.3">
      <c r="A9" s="6" t="s">
        <v>162</v>
      </c>
      <c r="B9" s="6" t="s">
        <v>163</v>
      </c>
    </row>
    <row r="10" spans="1:4" x14ac:dyDescent="0.3">
      <c r="A10" s="6" t="s">
        <v>164</v>
      </c>
      <c r="B10" s="6" t="s">
        <v>165</v>
      </c>
    </row>
  </sheetData>
  <mergeCells count="2">
    <mergeCell ref="A7:D7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5E4F-BBBE-463F-BA8C-95FB6C4BD2CE}">
  <dimension ref="A1:F12"/>
  <sheetViews>
    <sheetView workbookViewId="0">
      <selection activeCell="F4" sqref="F4"/>
    </sheetView>
  </sheetViews>
  <sheetFormatPr defaultRowHeight="14.4" x14ac:dyDescent="0.3"/>
  <cols>
    <col min="1" max="1" width="10.33203125" bestFit="1" customWidth="1"/>
    <col min="2" max="2" width="8.5546875" bestFit="1" customWidth="1"/>
    <col min="3" max="3" width="11.88671875" bestFit="1" customWidth="1"/>
    <col min="4" max="4" width="5.44140625" bestFit="1" customWidth="1"/>
    <col min="5" max="5" width="48.44140625" customWidth="1"/>
  </cols>
  <sheetData>
    <row r="1" spans="1:6" x14ac:dyDescent="0.3">
      <c r="A1" s="16" t="s">
        <v>185</v>
      </c>
      <c r="B1" s="16"/>
      <c r="C1" s="16"/>
      <c r="D1" s="16"/>
      <c r="E1" s="16"/>
    </row>
    <row r="2" spans="1:6" ht="31.2" x14ac:dyDescent="0.3">
      <c r="A2" s="13" t="s">
        <v>167</v>
      </c>
      <c r="B2" s="13" t="s">
        <v>168</v>
      </c>
      <c r="C2" s="13" t="s">
        <v>169</v>
      </c>
      <c r="D2" s="13" t="s">
        <v>170</v>
      </c>
      <c r="E2" s="13" t="s">
        <v>171</v>
      </c>
    </row>
    <row r="3" spans="1:6" ht="15.6" x14ac:dyDescent="0.3">
      <c r="A3" s="12" t="s">
        <v>172</v>
      </c>
      <c r="B3" s="12" t="s">
        <v>173</v>
      </c>
      <c r="C3" s="12" t="s">
        <v>174</v>
      </c>
      <c r="D3" s="12">
        <v>4500</v>
      </c>
      <c r="E3" s="12">
        <f>IF(B3="kolkata",30%*D3,D3*20%)</f>
        <v>1350</v>
      </c>
    </row>
    <row r="4" spans="1:6" ht="15.6" x14ac:dyDescent="0.3">
      <c r="A4" s="12" t="s">
        <v>175</v>
      </c>
      <c r="B4" s="12" t="s">
        <v>176</v>
      </c>
      <c r="C4" s="12" t="s">
        <v>177</v>
      </c>
      <c r="D4" s="12">
        <v>7800</v>
      </c>
      <c r="E4" s="12">
        <f>IF(B4="kolkata",30%*D4,D4*20%)</f>
        <v>1560</v>
      </c>
    </row>
    <row r="5" spans="1:6" ht="15.6" x14ac:dyDescent="0.3">
      <c r="A5" s="12" t="s">
        <v>178</v>
      </c>
      <c r="B5" s="12" t="s">
        <v>176</v>
      </c>
      <c r="C5" s="12" t="s">
        <v>179</v>
      </c>
      <c r="D5" s="12">
        <v>6600</v>
      </c>
      <c r="E5" s="12">
        <f t="shared" ref="E4:E9" si="0">IF(B5="kolkata",30%*D5,D5*20%)</f>
        <v>1320</v>
      </c>
    </row>
    <row r="6" spans="1:6" ht="15.6" x14ac:dyDescent="0.3">
      <c r="A6" s="12" t="s">
        <v>180</v>
      </c>
      <c r="B6" s="12" t="s">
        <v>173</v>
      </c>
      <c r="C6" s="12" t="s">
        <v>177</v>
      </c>
      <c r="D6" s="12">
        <v>5600</v>
      </c>
      <c r="E6" s="12">
        <f t="shared" si="0"/>
        <v>1680</v>
      </c>
    </row>
    <row r="7" spans="1:6" ht="31.2" x14ac:dyDescent="0.3">
      <c r="A7" s="12" t="s">
        <v>181</v>
      </c>
      <c r="B7" s="12" t="s">
        <v>173</v>
      </c>
      <c r="C7" s="12" t="s">
        <v>174</v>
      </c>
      <c r="D7" s="12">
        <v>8900</v>
      </c>
      <c r="E7" s="12">
        <f t="shared" si="0"/>
        <v>2670</v>
      </c>
    </row>
    <row r="8" spans="1:6" ht="15.6" x14ac:dyDescent="0.3">
      <c r="A8" s="12" t="s">
        <v>132</v>
      </c>
      <c r="B8" s="12" t="s">
        <v>173</v>
      </c>
      <c r="C8" s="12" t="s">
        <v>174</v>
      </c>
      <c r="D8" s="12">
        <v>3000</v>
      </c>
      <c r="E8" s="12">
        <f t="shared" si="0"/>
        <v>900</v>
      </c>
    </row>
    <row r="9" spans="1:6" ht="15.6" x14ac:dyDescent="0.3">
      <c r="A9" s="12" t="s">
        <v>182</v>
      </c>
      <c r="B9" s="12" t="s">
        <v>173</v>
      </c>
      <c r="C9" s="12" t="s">
        <v>177</v>
      </c>
      <c r="D9" s="12">
        <v>9500</v>
      </c>
      <c r="E9" s="12">
        <f t="shared" si="0"/>
        <v>2850</v>
      </c>
    </row>
    <row r="11" spans="1:6" ht="15.6" x14ac:dyDescent="0.3">
      <c r="A11" s="33" t="s">
        <v>183</v>
      </c>
      <c r="B11" s="34"/>
      <c r="C11" s="34"/>
      <c r="D11" s="34"/>
      <c r="E11" s="34"/>
      <c r="F11" s="34"/>
    </row>
    <row r="12" spans="1:6" ht="15.6" x14ac:dyDescent="0.3">
      <c r="A12" s="33" t="s">
        <v>184</v>
      </c>
      <c r="B12" s="34"/>
      <c r="C12" s="34"/>
      <c r="D12" s="34"/>
      <c r="E12" s="34"/>
      <c r="F12" s="34"/>
    </row>
  </sheetData>
  <mergeCells count="3">
    <mergeCell ref="A11:F11"/>
    <mergeCell ref="A12:F12"/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F144-9767-4B46-8B51-901876141672}">
  <dimension ref="A1:E15"/>
  <sheetViews>
    <sheetView workbookViewId="0">
      <selection activeCell="A2" sqref="A2"/>
    </sheetView>
  </sheetViews>
  <sheetFormatPr defaultRowHeight="14.4" x14ac:dyDescent="0.3"/>
  <cols>
    <col min="1" max="1" width="10.77734375" bestFit="1" customWidth="1"/>
    <col min="2" max="2" width="11.109375" bestFit="1" customWidth="1"/>
    <col min="3" max="3" width="11.88671875" bestFit="1" customWidth="1"/>
    <col min="4" max="4" width="7.88671875" customWidth="1"/>
    <col min="5" max="5" width="11.33203125" customWidth="1"/>
  </cols>
  <sheetData>
    <row r="1" spans="1:5" x14ac:dyDescent="0.3">
      <c r="A1" s="16" t="s">
        <v>189</v>
      </c>
      <c r="B1" s="16"/>
      <c r="C1" s="16"/>
      <c r="D1" s="16"/>
      <c r="E1" s="16"/>
    </row>
    <row r="2" spans="1:5" ht="31.2" x14ac:dyDescent="0.3">
      <c r="A2" s="13" t="s">
        <v>167</v>
      </c>
      <c r="B2" s="13" t="s">
        <v>168</v>
      </c>
      <c r="C2" s="13" t="s">
        <v>169</v>
      </c>
      <c r="D2" s="13" t="s">
        <v>170</v>
      </c>
      <c r="E2" s="13" t="s">
        <v>171</v>
      </c>
    </row>
    <row r="3" spans="1:5" ht="15.6" x14ac:dyDescent="0.3">
      <c r="A3" s="12" t="s">
        <v>172</v>
      </c>
      <c r="B3" s="12" t="s">
        <v>173</v>
      </c>
      <c r="C3" s="12" t="s">
        <v>174</v>
      </c>
      <c r="D3" s="12">
        <v>4500</v>
      </c>
      <c r="E3" s="12" t="s">
        <v>186</v>
      </c>
    </row>
    <row r="4" spans="1:5" ht="15.6" x14ac:dyDescent="0.3">
      <c r="A4" s="12" t="s">
        <v>175</v>
      </c>
      <c r="B4" s="12" t="s">
        <v>176</v>
      </c>
      <c r="C4" s="12" t="s">
        <v>177</v>
      </c>
      <c r="D4" s="12">
        <v>7800</v>
      </c>
      <c r="E4" s="12" t="s">
        <v>186</v>
      </c>
    </row>
    <row r="5" spans="1:5" ht="15.6" x14ac:dyDescent="0.3">
      <c r="A5" s="12" t="s">
        <v>178</v>
      </c>
      <c r="B5" s="12" t="s">
        <v>176</v>
      </c>
      <c r="C5" s="12" t="s">
        <v>179</v>
      </c>
      <c r="D5" s="12">
        <v>6600</v>
      </c>
      <c r="E5" s="12" t="s">
        <v>186</v>
      </c>
    </row>
    <row r="6" spans="1:5" ht="15.6" x14ac:dyDescent="0.3">
      <c r="A6" s="12" t="s">
        <v>180</v>
      </c>
      <c r="B6" s="12" t="s">
        <v>173</v>
      </c>
      <c r="C6" s="12" t="s">
        <v>177</v>
      </c>
      <c r="D6" s="12">
        <v>5600</v>
      </c>
      <c r="E6" s="12" t="s">
        <v>186</v>
      </c>
    </row>
    <row r="7" spans="1:5" ht="15.6" x14ac:dyDescent="0.3">
      <c r="A7" s="12" t="s">
        <v>181</v>
      </c>
      <c r="B7" s="12" t="s">
        <v>173</v>
      </c>
      <c r="C7" s="12" t="s">
        <v>174</v>
      </c>
      <c r="D7" s="12">
        <v>8900</v>
      </c>
      <c r="E7" s="12" t="s">
        <v>186</v>
      </c>
    </row>
    <row r="8" spans="1:5" ht="15.6" x14ac:dyDescent="0.3">
      <c r="A8" s="12" t="s">
        <v>132</v>
      </c>
      <c r="B8" s="12" t="s">
        <v>173</v>
      </c>
      <c r="C8" s="12" t="s">
        <v>174</v>
      </c>
      <c r="D8" s="12">
        <v>3000</v>
      </c>
      <c r="E8" s="12" t="s">
        <v>186</v>
      </c>
    </row>
    <row r="9" spans="1:5" ht="15.6" x14ac:dyDescent="0.3">
      <c r="A9" s="12" t="s">
        <v>182</v>
      </c>
      <c r="B9" s="12" t="s">
        <v>173</v>
      </c>
      <c r="C9" s="12" t="s">
        <v>177</v>
      </c>
      <c r="D9" s="12">
        <v>9500</v>
      </c>
      <c r="E9" s="12" t="s">
        <v>186</v>
      </c>
    </row>
    <row r="12" spans="1:5" x14ac:dyDescent="0.3">
      <c r="A12" s="9" t="s">
        <v>187</v>
      </c>
      <c r="B12" s="9" t="s">
        <v>188</v>
      </c>
    </row>
    <row r="13" spans="1:5" ht="15.6" x14ac:dyDescent="0.3">
      <c r="A13" s="12" t="s">
        <v>174</v>
      </c>
      <c r="B13" s="9" t="s">
        <v>53</v>
      </c>
    </row>
    <row r="14" spans="1:5" ht="15.6" x14ac:dyDescent="0.3">
      <c r="A14" s="12" t="s">
        <v>177</v>
      </c>
      <c r="B14" s="9" t="s">
        <v>60</v>
      </c>
    </row>
    <row r="15" spans="1:5" x14ac:dyDescent="0.3">
      <c r="A15" s="9" t="s">
        <v>81</v>
      </c>
      <c r="B15" s="9">
        <v>0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E6D8-8C69-4F1B-971A-3741430536DD}">
  <dimension ref="A1:C12"/>
  <sheetViews>
    <sheetView workbookViewId="0">
      <selection activeCell="A2" sqref="A2"/>
    </sheetView>
  </sheetViews>
  <sheetFormatPr defaultRowHeight="14.4" x14ac:dyDescent="0.3"/>
  <cols>
    <col min="1" max="1" width="16.6640625" bestFit="1" customWidth="1"/>
    <col min="2" max="2" width="7.77734375" bestFit="1" customWidth="1"/>
    <col min="3" max="3" width="8.5546875" customWidth="1"/>
  </cols>
  <sheetData>
    <row r="1" spans="1:3" x14ac:dyDescent="0.3">
      <c r="A1" s="16" t="s">
        <v>191</v>
      </c>
      <c r="B1" s="16"/>
      <c r="C1" s="16"/>
    </row>
    <row r="2" spans="1:3" x14ac:dyDescent="0.3">
      <c r="A2" s="9" t="s">
        <v>85</v>
      </c>
      <c r="B2" s="9" t="s">
        <v>49</v>
      </c>
      <c r="C2" s="9" t="s">
        <v>91</v>
      </c>
    </row>
    <row r="3" spans="1:3" x14ac:dyDescent="0.3">
      <c r="A3" s="9" t="s">
        <v>93</v>
      </c>
      <c r="B3" s="9">
        <v>345000</v>
      </c>
      <c r="C3" s="9"/>
    </row>
    <row r="4" spans="1:3" x14ac:dyDescent="0.3">
      <c r="A4" s="9" t="s">
        <v>95</v>
      </c>
      <c r="B4" s="9">
        <v>652000</v>
      </c>
      <c r="C4" s="9"/>
    </row>
    <row r="5" spans="1:3" x14ac:dyDescent="0.3">
      <c r="A5" s="9" t="s">
        <v>97</v>
      </c>
      <c r="B5" s="9">
        <v>3620000</v>
      </c>
      <c r="C5" s="9"/>
    </row>
    <row r="6" spans="1:3" x14ac:dyDescent="0.3">
      <c r="A6" s="9" t="s">
        <v>99</v>
      </c>
      <c r="B6" s="9">
        <v>425000</v>
      </c>
      <c r="C6" s="9"/>
    </row>
    <row r="8" spans="1:3" x14ac:dyDescent="0.3">
      <c r="A8" s="1" t="s">
        <v>190</v>
      </c>
      <c r="B8" s="1"/>
    </row>
    <row r="9" spans="1:3" x14ac:dyDescent="0.3">
      <c r="A9" s="1" t="s">
        <v>105</v>
      </c>
      <c r="B9" s="14">
        <v>0</v>
      </c>
    </row>
    <row r="10" spans="1:3" x14ac:dyDescent="0.3">
      <c r="A10" s="1" t="s">
        <v>106</v>
      </c>
      <c r="B10" s="14">
        <v>0.1</v>
      </c>
    </row>
    <row r="11" spans="1:3" x14ac:dyDescent="0.3">
      <c r="A11" s="1" t="s">
        <v>107</v>
      </c>
      <c r="B11" s="14">
        <v>0.2</v>
      </c>
    </row>
    <row r="12" spans="1:3" x14ac:dyDescent="0.3">
      <c r="A12" s="1" t="s">
        <v>108</v>
      </c>
      <c r="B12" s="14">
        <v>0.3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F4F8-F1DF-4588-B92E-02292B584DC0}">
  <dimension ref="A1:O19"/>
  <sheetViews>
    <sheetView tabSelected="1" workbookViewId="0">
      <selection activeCell="R13" sqref="R13"/>
    </sheetView>
  </sheetViews>
  <sheetFormatPr defaultRowHeight="14.4" x14ac:dyDescent="0.3"/>
  <cols>
    <col min="1" max="1" width="11.44140625" bestFit="1" customWidth="1"/>
    <col min="9" max="9" width="11.44140625" bestFit="1" customWidth="1"/>
  </cols>
  <sheetData>
    <row r="1" spans="1:15" x14ac:dyDescent="0.3">
      <c r="A1" s="15" t="s">
        <v>214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3">
      <c r="A2" s="35" t="s">
        <v>192</v>
      </c>
      <c r="B2" s="35"/>
      <c r="C2" s="35"/>
      <c r="D2" s="35"/>
      <c r="E2" s="35"/>
      <c r="F2" s="35"/>
      <c r="G2" s="35"/>
      <c r="I2" s="35" t="s">
        <v>208</v>
      </c>
      <c r="J2" s="35"/>
      <c r="K2" s="35"/>
      <c r="L2" s="35"/>
      <c r="M2" s="35"/>
      <c r="N2" s="35"/>
      <c r="O2" s="35"/>
    </row>
    <row r="3" spans="1:15" x14ac:dyDescent="0.3">
      <c r="A3" s="2"/>
      <c r="B3" s="2" t="s">
        <v>193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198</v>
      </c>
      <c r="I3" s="2"/>
      <c r="J3" s="2" t="s">
        <v>193</v>
      </c>
      <c r="K3" s="2" t="s">
        <v>194</v>
      </c>
      <c r="L3" s="2" t="s">
        <v>195</v>
      </c>
      <c r="M3" s="2" t="s">
        <v>196</v>
      </c>
      <c r="N3" s="2" t="s">
        <v>197</v>
      </c>
      <c r="O3" s="2" t="s">
        <v>198</v>
      </c>
    </row>
    <row r="4" spans="1:15" x14ac:dyDescent="0.3">
      <c r="A4" s="2" t="s">
        <v>199</v>
      </c>
      <c r="B4" s="2">
        <v>85</v>
      </c>
      <c r="C4" s="2">
        <v>89</v>
      </c>
      <c r="D4" s="2">
        <v>43</v>
      </c>
      <c r="E4" s="2">
        <v>55</v>
      </c>
      <c r="F4" s="2">
        <v>76</v>
      </c>
      <c r="G4" s="2">
        <v>51</v>
      </c>
      <c r="I4" s="2" t="s">
        <v>199</v>
      </c>
      <c r="J4" s="2" t="str">
        <f>IF(B4&gt;=80,"A",IF(B4&gt;=60,"B",IF(B4&gt;=50,"C","Fail")))</f>
        <v>A</v>
      </c>
      <c r="K4" s="2" t="str">
        <f t="shared" ref="K4:O10" si="0">IF(C4&gt;=80,"A",IF(C4&gt;=60,"B",IF(C4&gt;=50,"C","Fail")))</f>
        <v>A</v>
      </c>
      <c r="L4" s="2" t="str">
        <f t="shared" si="0"/>
        <v>Fail</v>
      </c>
      <c r="M4" s="2" t="str">
        <f t="shared" si="0"/>
        <v>C</v>
      </c>
      <c r="N4" s="2" t="str">
        <f t="shared" si="0"/>
        <v>B</v>
      </c>
      <c r="O4" s="2" t="str">
        <f t="shared" si="0"/>
        <v>C</v>
      </c>
    </row>
    <row r="5" spans="1:15" x14ac:dyDescent="0.3">
      <c r="A5" s="2" t="s">
        <v>200</v>
      </c>
      <c r="B5" s="2">
        <v>55</v>
      </c>
      <c r="C5" s="2">
        <v>32</v>
      </c>
      <c r="D5" s="2">
        <v>90</v>
      </c>
      <c r="E5" s="2">
        <v>61</v>
      </c>
      <c r="F5" s="2">
        <v>87</v>
      </c>
      <c r="G5" s="2">
        <v>86</v>
      </c>
      <c r="I5" s="2" t="s">
        <v>200</v>
      </c>
      <c r="J5" s="2" t="str">
        <f t="shared" ref="J5:J10" si="1">IF(B5&gt;=80,"A",IF(B5&gt;=60,"B",IF(B5&gt;=50,"C","Fail")))</f>
        <v>C</v>
      </c>
      <c r="K5" s="2" t="str">
        <f t="shared" si="0"/>
        <v>Fail</v>
      </c>
      <c r="L5" s="2" t="str">
        <f t="shared" si="0"/>
        <v>A</v>
      </c>
      <c r="M5" s="2" t="str">
        <f t="shared" si="0"/>
        <v>B</v>
      </c>
      <c r="N5" s="2" t="str">
        <f t="shared" si="0"/>
        <v>A</v>
      </c>
      <c r="O5" s="2" t="str">
        <f t="shared" si="0"/>
        <v>A</v>
      </c>
    </row>
    <row r="6" spans="1:15" x14ac:dyDescent="0.3">
      <c r="A6" s="2" t="s">
        <v>201</v>
      </c>
      <c r="B6" s="2">
        <v>65</v>
      </c>
      <c r="C6" s="2">
        <v>82</v>
      </c>
      <c r="D6" s="2">
        <v>39</v>
      </c>
      <c r="E6" s="2">
        <v>58</v>
      </c>
      <c r="F6" s="2">
        <v>65</v>
      </c>
      <c r="G6" s="2">
        <v>72</v>
      </c>
      <c r="I6" s="2" t="s">
        <v>201</v>
      </c>
      <c r="J6" s="2" t="str">
        <f t="shared" si="1"/>
        <v>B</v>
      </c>
      <c r="K6" s="2" t="str">
        <f t="shared" si="0"/>
        <v>A</v>
      </c>
      <c r="L6" s="2" t="str">
        <f t="shared" si="0"/>
        <v>Fail</v>
      </c>
      <c r="M6" s="2" t="str">
        <f t="shared" si="0"/>
        <v>C</v>
      </c>
      <c r="N6" s="2" t="str">
        <f t="shared" si="0"/>
        <v>B</v>
      </c>
      <c r="O6" s="2" t="str">
        <f t="shared" si="0"/>
        <v>B</v>
      </c>
    </row>
    <row r="7" spans="1:15" x14ac:dyDescent="0.3">
      <c r="A7" s="2" t="s">
        <v>202</v>
      </c>
      <c r="B7" s="2">
        <v>48</v>
      </c>
      <c r="C7" s="2">
        <v>91</v>
      </c>
      <c r="D7" s="2">
        <v>56</v>
      </c>
      <c r="E7" s="2">
        <v>72</v>
      </c>
      <c r="F7" s="2">
        <v>70</v>
      </c>
      <c r="G7" s="2">
        <v>68</v>
      </c>
      <c r="I7" s="2" t="s">
        <v>202</v>
      </c>
      <c r="J7" s="2" t="str">
        <f t="shared" si="1"/>
        <v>Fail</v>
      </c>
      <c r="K7" s="2" t="str">
        <f t="shared" si="0"/>
        <v>A</v>
      </c>
      <c r="L7" s="2" t="str">
        <f t="shared" si="0"/>
        <v>C</v>
      </c>
      <c r="M7" s="2" t="str">
        <f t="shared" si="0"/>
        <v>B</v>
      </c>
      <c r="N7" s="2" t="str">
        <f t="shared" si="0"/>
        <v>B</v>
      </c>
      <c r="O7" s="2" t="str">
        <f t="shared" si="0"/>
        <v>B</v>
      </c>
    </row>
    <row r="8" spans="1:15" x14ac:dyDescent="0.3">
      <c r="A8" s="2" t="s">
        <v>203</v>
      </c>
      <c r="B8" s="2">
        <v>92</v>
      </c>
      <c r="C8" s="2">
        <v>84</v>
      </c>
      <c r="D8" s="2">
        <v>54</v>
      </c>
      <c r="E8" s="2">
        <v>64</v>
      </c>
      <c r="F8" s="2">
        <v>64</v>
      </c>
      <c r="G8" s="2">
        <v>80</v>
      </c>
      <c r="I8" s="2" t="s">
        <v>203</v>
      </c>
      <c r="J8" s="2" t="str">
        <f t="shared" si="1"/>
        <v>A</v>
      </c>
      <c r="K8" s="2" t="str">
        <f t="shared" si="0"/>
        <v>A</v>
      </c>
      <c r="L8" s="2" t="str">
        <f t="shared" si="0"/>
        <v>C</v>
      </c>
      <c r="M8" s="2" t="str">
        <f t="shared" si="0"/>
        <v>B</v>
      </c>
      <c r="N8" s="2" t="str">
        <f t="shared" si="0"/>
        <v>B</v>
      </c>
      <c r="O8" s="2" t="str">
        <f t="shared" si="0"/>
        <v>A</v>
      </c>
    </row>
    <row r="9" spans="1:15" x14ac:dyDescent="0.3">
      <c r="A9" s="2" t="s">
        <v>204</v>
      </c>
      <c r="B9" s="2">
        <v>69</v>
      </c>
      <c r="C9" s="2">
        <v>63</v>
      </c>
      <c r="D9" s="2">
        <v>49</v>
      </c>
      <c r="E9" s="2">
        <v>12</v>
      </c>
      <c r="F9" s="2">
        <v>89</v>
      </c>
      <c r="G9" s="2">
        <v>62</v>
      </c>
      <c r="I9" s="2" t="s">
        <v>204</v>
      </c>
      <c r="J9" s="2" t="str">
        <f t="shared" si="1"/>
        <v>B</v>
      </c>
      <c r="K9" s="2" t="str">
        <f t="shared" si="0"/>
        <v>B</v>
      </c>
      <c r="L9" s="2" t="str">
        <f t="shared" si="0"/>
        <v>Fail</v>
      </c>
      <c r="M9" s="2" t="str">
        <f t="shared" si="0"/>
        <v>Fail</v>
      </c>
      <c r="N9" s="2" t="str">
        <f t="shared" si="0"/>
        <v>A</v>
      </c>
      <c r="O9" s="2" t="str">
        <f t="shared" si="0"/>
        <v>B</v>
      </c>
    </row>
    <row r="10" spans="1:15" x14ac:dyDescent="0.3">
      <c r="A10" s="2" t="s">
        <v>205</v>
      </c>
      <c r="B10" s="2">
        <v>63</v>
      </c>
      <c r="C10" s="2">
        <v>95</v>
      </c>
      <c r="D10" s="2">
        <v>65</v>
      </c>
      <c r="E10" s="2">
        <v>59</v>
      </c>
      <c r="F10" s="2">
        <v>92</v>
      </c>
      <c r="G10" s="2">
        <v>58</v>
      </c>
      <c r="I10" s="2" t="s">
        <v>205</v>
      </c>
      <c r="J10" s="2" t="str">
        <f t="shared" si="1"/>
        <v>B</v>
      </c>
      <c r="K10" s="2" t="str">
        <f t="shared" si="0"/>
        <v>A</v>
      </c>
      <c r="L10" s="2" t="str">
        <f t="shared" si="0"/>
        <v>B</v>
      </c>
      <c r="M10" s="2" t="str">
        <f t="shared" si="0"/>
        <v>C</v>
      </c>
      <c r="N10" s="2" t="str">
        <f t="shared" si="0"/>
        <v>A</v>
      </c>
      <c r="O10" s="2" t="str">
        <f>IF(G10&gt;=80,"A",IF(G10&gt;=60,"B",IF(G10&gt;=50,"C","Fail")))</f>
        <v>C</v>
      </c>
    </row>
    <row r="11" spans="1:15" x14ac:dyDescent="0.3">
      <c r="A11" s="2" t="s">
        <v>206</v>
      </c>
      <c r="B11" s="2"/>
      <c r="C11" s="2"/>
      <c r="D11" s="2"/>
      <c r="E11" s="2"/>
      <c r="F11" s="2"/>
      <c r="G11" s="2"/>
    </row>
    <row r="12" spans="1:15" x14ac:dyDescent="0.3">
      <c r="A12" s="2" t="s">
        <v>207</v>
      </c>
      <c r="B12" s="2"/>
      <c r="C12" s="2"/>
      <c r="D12" s="2"/>
      <c r="E12" s="2"/>
      <c r="F12" s="2"/>
      <c r="G12" s="2"/>
    </row>
    <row r="15" spans="1:15" x14ac:dyDescent="0.3">
      <c r="I15" s="25" t="s">
        <v>209</v>
      </c>
      <c r="J15" s="25"/>
      <c r="K15" s="25"/>
      <c r="L15" s="25"/>
      <c r="M15" s="25"/>
      <c r="N15" s="25"/>
      <c r="O15" s="25"/>
    </row>
    <row r="16" spans="1:15" x14ac:dyDescent="0.3">
      <c r="I16" s="25" t="s">
        <v>210</v>
      </c>
      <c r="J16" s="25"/>
      <c r="K16" s="25"/>
      <c r="L16" s="25"/>
      <c r="M16" s="25"/>
      <c r="N16" s="25"/>
      <c r="O16" s="25"/>
    </row>
    <row r="17" spans="9:15" x14ac:dyDescent="0.3">
      <c r="I17" s="25" t="s">
        <v>211</v>
      </c>
      <c r="J17" s="25"/>
      <c r="K17" s="25"/>
      <c r="L17" s="25"/>
      <c r="M17" s="25"/>
      <c r="N17" s="25"/>
      <c r="O17" s="25"/>
    </row>
    <row r="18" spans="9:15" x14ac:dyDescent="0.3">
      <c r="I18" s="25" t="s">
        <v>212</v>
      </c>
      <c r="J18" s="25"/>
      <c r="K18" s="25"/>
      <c r="L18" s="25"/>
      <c r="M18" s="25"/>
      <c r="N18" s="25"/>
      <c r="O18" s="25"/>
    </row>
    <row r="19" spans="9:15" x14ac:dyDescent="0.3">
      <c r="I19" s="25" t="s">
        <v>213</v>
      </c>
      <c r="J19" s="25"/>
      <c r="K19" s="25"/>
      <c r="L19" s="25"/>
      <c r="M19" s="25"/>
      <c r="N19" s="25"/>
      <c r="O19" s="25"/>
    </row>
  </sheetData>
  <mergeCells count="8">
    <mergeCell ref="I19:O19"/>
    <mergeCell ref="A1:O1"/>
    <mergeCell ref="A2:G2"/>
    <mergeCell ref="I2:O2"/>
    <mergeCell ref="I15:O15"/>
    <mergeCell ref="I16:O16"/>
    <mergeCell ref="I17:O17"/>
    <mergeCell ref="I18:O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Anshil Gautam</cp:lastModifiedBy>
  <dcterms:created xsi:type="dcterms:W3CDTF">2023-05-03T11:56:40Z</dcterms:created>
  <dcterms:modified xsi:type="dcterms:W3CDTF">2026-04-03T04:01:42Z</dcterms:modified>
</cp:coreProperties>
</file>