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TPA\EXCEL\"/>
    </mc:Choice>
  </mc:AlternateContent>
  <xr:revisionPtr revIDLastSave="0" documentId="8_{5B46B7D2-ACB7-4C85-AF89-18F00AC3A0F4}" xr6:coauthVersionLast="47" xr6:coauthVersionMax="47" xr10:uidLastSave="{00000000-0000-0000-0000-000000000000}"/>
  <bookViews>
    <workbookView xWindow="-108" yWindow="-108" windowWidth="23256" windowHeight="12456" xr2:uid="{8D5A711B-2474-49C4-8C8A-E9B3A31135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8" i="1" l="1"/>
  <c r="H149" i="1"/>
  <c r="N129" i="1"/>
  <c r="D119" i="1"/>
  <c r="J103" i="1"/>
  <c r="I87" i="1"/>
  <c r="I69" i="1"/>
  <c r="Q40" i="1"/>
  <c r="J21" i="1"/>
  <c r="J5" i="1"/>
</calcChain>
</file>

<file path=xl/sharedStrings.xml><?xml version="1.0" encoding="utf-8"?>
<sst xmlns="http://schemas.openxmlformats.org/spreadsheetml/2006/main" count="468" uniqueCount="51">
  <si>
    <t xml:space="preserve">Emp_ID </t>
  </si>
  <si>
    <t xml:space="preserve">Salesman </t>
  </si>
  <si>
    <t xml:space="preserve">State </t>
  </si>
  <si>
    <t xml:space="preserve">Company </t>
  </si>
  <si>
    <t xml:space="preserve">YTD Sales </t>
  </si>
  <si>
    <t xml:space="preserve">Last Sales </t>
  </si>
  <si>
    <t xml:space="preserve">EM-1132 </t>
  </si>
  <si>
    <t xml:space="preserve">Rama </t>
  </si>
  <si>
    <t>Rajasthan</t>
  </si>
  <si>
    <t xml:space="preserve">Tata </t>
  </si>
  <si>
    <t xml:space="preserve">EM-1077 </t>
  </si>
  <si>
    <t xml:space="preserve">Krishna </t>
  </si>
  <si>
    <t>Gujarat</t>
  </si>
  <si>
    <t xml:space="preserve">Reliance </t>
  </si>
  <si>
    <t xml:space="preserve">EM-1088 </t>
  </si>
  <si>
    <t xml:space="preserve">Prakash </t>
  </si>
  <si>
    <t xml:space="preserve">Bata </t>
  </si>
  <si>
    <t xml:space="preserve">EM-1070 </t>
  </si>
  <si>
    <t xml:space="preserve">Kanupriya </t>
  </si>
  <si>
    <t xml:space="preserve">EM-1095 </t>
  </si>
  <si>
    <t xml:space="preserve">Jyoti </t>
  </si>
  <si>
    <t>Tamil Nadu</t>
  </si>
  <si>
    <t xml:space="preserve">EM-1100 </t>
  </si>
  <si>
    <t xml:space="preserve">Raja </t>
  </si>
  <si>
    <t>Uttarakhand</t>
  </si>
  <si>
    <t xml:space="preserve">EM-1102 </t>
  </si>
  <si>
    <t xml:space="preserve">Sujoy </t>
  </si>
  <si>
    <t>West Bengal</t>
  </si>
  <si>
    <t xml:space="preserve">EM-1069 </t>
  </si>
  <si>
    <t xml:space="preserve">Sunipa </t>
  </si>
  <si>
    <t xml:space="preserve">EM-1149 </t>
  </si>
  <si>
    <t xml:space="preserve">Deep </t>
  </si>
  <si>
    <t xml:space="preserve">EM-1134 </t>
  </si>
  <si>
    <t xml:space="preserve">Sangeeta </t>
  </si>
  <si>
    <t>VLOOKUP</t>
  </si>
  <si>
    <t xml:space="preserve">HLOOKUP </t>
  </si>
  <si>
    <t>XLOOKUP</t>
  </si>
  <si>
    <t>VLOOPUP +MAX</t>
  </si>
  <si>
    <t>max ytd sale</t>
  </si>
  <si>
    <t>emp_id</t>
  </si>
  <si>
    <t>MATCH</t>
  </si>
  <si>
    <t>srno</t>
  </si>
  <si>
    <t>postin of raja?</t>
  </si>
  <si>
    <t xml:space="preserve">   </t>
  </si>
  <si>
    <t>VLOOKUP +MATCH</t>
  </si>
  <si>
    <t>CHOOSE</t>
  </si>
  <si>
    <t>VLOOKUP+VLOOKUP</t>
  </si>
  <si>
    <t>INDEX</t>
  </si>
  <si>
    <t>row 5 ke clmn three mein val?</t>
  </si>
  <si>
    <t>INDEX+match</t>
  </si>
  <si>
    <t>LOOK UP 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</si>
</sst>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Fill="1" applyBorder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FF270-0D6C-4E3F-ABDF-2968C1086EED}">
  <dimension ref="A1:Q177"/>
  <sheetViews>
    <sheetView tabSelected="1" zoomScaleNormal="100" workbookViewId="0">
      <selection activeCell="N12" sqref="N12"/>
    </sheetView>
  </sheetViews>
  <sheetFormatPr defaultRowHeight="14.4" x14ac:dyDescent="0.3"/>
  <cols>
    <col min="5" max="5" width="22" customWidth="1"/>
    <col min="8" max="8" width="13.21875" customWidth="1"/>
    <col min="9" max="9" width="19.33203125" customWidth="1"/>
  </cols>
  <sheetData>
    <row r="1" spans="2:15" x14ac:dyDescent="0.3">
      <c r="D1" s="10" t="s">
        <v>50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x14ac:dyDescent="0.3"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x14ac:dyDescent="0.3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x14ac:dyDescent="0.3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I4" s="2" t="s">
        <v>0</v>
      </c>
      <c r="J4" s="2" t="s">
        <v>4</v>
      </c>
    </row>
    <row r="5" spans="2:15" x14ac:dyDescent="0.3">
      <c r="B5" s="1" t="s">
        <v>28</v>
      </c>
      <c r="C5" s="1" t="s">
        <v>29</v>
      </c>
      <c r="D5" s="1" t="s">
        <v>27</v>
      </c>
      <c r="E5" s="1" t="s">
        <v>13</v>
      </c>
      <c r="F5" s="1">
        <v>82126</v>
      </c>
      <c r="G5" s="1">
        <v>739.4</v>
      </c>
      <c r="I5" s="1" t="s">
        <v>17</v>
      </c>
      <c r="J5">
        <f>LOOKUP(I5,B4:B14,F4:F14)</f>
        <v>86452</v>
      </c>
    </row>
    <row r="6" spans="2:15" x14ac:dyDescent="0.3">
      <c r="B6" s="1" t="s">
        <v>17</v>
      </c>
      <c r="C6" s="1" t="s">
        <v>18</v>
      </c>
      <c r="D6" s="1" t="s">
        <v>12</v>
      </c>
      <c r="E6" s="1" t="s">
        <v>9</v>
      </c>
      <c r="F6" s="1">
        <v>86452</v>
      </c>
      <c r="G6" s="1">
        <v>715.39</v>
      </c>
    </row>
    <row r="7" spans="2:15" x14ac:dyDescent="0.3">
      <c r="B7" s="1" t="s">
        <v>10</v>
      </c>
      <c r="C7" s="1" t="s">
        <v>11</v>
      </c>
      <c r="D7" s="1" t="s">
        <v>12</v>
      </c>
      <c r="E7" s="1" t="s">
        <v>13</v>
      </c>
      <c r="F7" s="1">
        <v>92185</v>
      </c>
      <c r="G7" s="1">
        <v>686.11</v>
      </c>
    </row>
    <row r="8" spans="2:15" x14ac:dyDescent="0.3">
      <c r="B8" s="1" t="s">
        <v>14</v>
      </c>
      <c r="C8" s="1" t="s">
        <v>15</v>
      </c>
      <c r="D8" s="1" t="s">
        <v>8</v>
      </c>
      <c r="E8" s="1" t="s">
        <v>16</v>
      </c>
      <c r="F8" s="1">
        <v>29796</v>
      </c>
      <c r="G8" s="1">
        <v>84.57</v>
      </c>
    </row>
    <row r="9" spans="2:15" x14ac:dyDescent="0.3">
      <c r="B9" s="1" t="s">
        <v>19</v>
      </c>
      <c r="C9" s="1" t="s">
        <v>20</v>
      </c>
      <c r="D9" s="1" t="s">
        <v>21</v>
      </c>
      <c r="E9" s="1" t="s">
        <v>13</v>
      </c>
      <c r="F9" s="1">
        <v>85153</v>
      </c>
      <c r="G9" s="1">
        <v>491.64</v>
      </c>
    </row>
    <row r="10" spans="2:15" x14ac:dyDescent="0.3">
      <c r="B10" s="1" t="s">
        <v>22</v>
      </c>
      <c r="C10" s="1" t="s">
        <v>23</v>
      </c>
      <c r="D10" s="1" t="s">
        <v>24</v>
      </c>
      <c r="E10" s="1" t="s">
        <v>16</v>
      </c>
      <c r="F10" s="1">
        <v>28449</v>
      </c>
      <c r="G10" s="1">
        <v>701.1</v>
      </c>
    </row>
    <row r="11" spans="2:15" x14ac:dyDescent="0.3">
      <c r="B11" s="1" t="s">
        <v>25</v>
      </c>
      <c r="C11" s="1" t="s">
        <v>26</v>
      </c>
      <c r="D11" s="1" t="s">
        <v>27</v>
      </c>
      <c r="E11" s="1" t="s">
        <v>9</v>
      </c>
      <c r="F11" s="1">
        <v>47675</v>
      </c>
      <c r="G11" s="1">
        <v>549.36</v>
      </c>
    </row>
    <row r="12" spans="2:15" x14ac:dyDescent="0.3">
      <c r="B12" s="1" t="s">
        <v>6</v>
      </c>
      <c r="C12" s="1" t="s">
        <v>7</v>
      </c>
      <c r="D12" s="1" t="s">
        <v>8</v>
      </c>
      <c r="E12" s="1" t="s">
        <v>9</v>
      </c>
      <c r="F12" s="1">
        <v>70660</v>
      </c>
      <c r="G12" s="1">
        <v>205.22</v>
      </c>
    </row>
    <row r="13" spans="2:15" x14ac:dyDescent="0.3">
      <c r="B13" s="1" t="s">
        <v>32</v>
      </c>
      <c r="C13" s="1" t="s">
        <v>33</v>
      </c>
      <c r="D13" s="1" t="s">
        <v>21</v>
      </c>
      <c r="E13" s="1" t="s">
        <v>9</v>
      </c>
      <c r="F13" s="1">
        <v>32625</v>
      </c>
      <c r="G13" s="1">
        <v>120.12</v>
      </c>
    </row>
    <row r="14" spans="2:15" x14ac:dyDescent="0.3">
      <c r="B14" s="1" t="s">
        <v>30</v>
      </c>
      <c r="C14" s="1" t="s">
        <v>31</v>
      </c>
      <c r="D14" s="1" t="s">
        <v>21</v>
      </c>
      <c r="E14" s="1" t="s">
        <v>16</v>
      </c>
      <c r="F14" s="1">
        <v>79089</v>
      </c>
      <c r="G14" s="1">
        <v>415.03</v>
      </c>
    </row>
    <row r="18" spans="2:10" x14ac:dyDescent="0.3">
      <c r="B18" s="6" t="s">
        <v>34</v>
      </c>
      <c r="C18" s="6"/>
    </row>
    <row r="20" spans="2:10" x14ac:dyDescent="0.3">
      <c r="B20" s="2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I20" s="2" t="s">
        <v>0</v>
      </c>
      <c r="J20" s="2" t="s">
        <v>4</v>
      </c>
    </row>
    <row r="21" spans="2:10" x14ac:dyDescent="0.3">
      <c r="B21" s="1" t="s">
        <v>28</v>
      </c>
      <c r="C21" s="1" t="s">
        <v>29</v>
      </c>
      <c r="D21" s="1" t="s">
        <v>27</v>
      </c>
      <c r="E21" s="1" t="s">
        <v>13</v>
      </c>
      <c r="F21" s="1">
        <v>82126</v>
      </c>
      <c r="G21" s="1">
        <v>739.4</v>
      </c>
      <c r="I21" s="1" t="s">
        <v>19</v>
      </c>
      <c r="J21">
        <f>VLOOKUP(I21,B20:G30,5,0)</f>
        <v>85153</v>
      </c>
    </row>
    <row r="22" spans="2:10" x14ac:dyDescent="0.3">
      <c r="B22" s="1" t="s">
        <v>17</v>
      </c>
      <c r="C22" s="1" t="s">
        <v>18</v>
      </c>
      <c r="D22" s="1" t="s">
        <v>12</v>
      </c>
      <c r="E22" s="1" t="s">
        <v>9</v>
      </c>
      <c r="F22" s="1">
        <v>86452</v>
      </c>
      <c r="G22" s="1">
        <v>715.39</v>
      </c>
    </row>
    <row r="23" spans="2:10" x14ac:dyDescent="0.3">
      <c r="B23" s="1" t="s">
        <v>10</v>
      </c>
      <c r="C23" s="1" t="s">
        <v>11</v>
      </c>
      <c r="D23" s="1" t="s">
        <v>12</v>
      </c>
      <c r="E23" s="1" t="s">
        <v>13</v>
      </c>
      <c r="F23" s="1">
        <v>92185</v>
      </c>
      <c r="G23" s="1">
        <v>686.11</v>
      </c>
    </row>
    <row r="24" spans="2:10" x14ac:dyDescent="0.3">
      <c r="B24" s="1" t="s">
        <v>14</v>
      </c>
      <c r="C24" s="1" t="s">
        <v>15</v>
      </c>
      <c r="D24" s="1" t="s">
        <v>8</v>
      </c>
      <c r="E24" s="1" t="s">
        <v>16</v>
      </c>
      <c r="F24" s="1">
        <v>29796</v>
      </c>
      <c r="G24" s="1">
        <v>84.57</v>
      </c>
    </row>
    <row r="25" spans="2:10" x14ac:dyDescent="0.3">
      <c r="B25" s="1" t="s">
        <v>19</v>
      </c>
      <c r="C25" s="1" t="s">
        <v>20</v>
      </c>
      <c r="D25" s="1" t="s">
        <v>21</v>
      </c>
      <c r="E25" s="1" t="s">
        <v>13</v>
      </c>
      <c r="F25" s="1">
        <v>85153</v>
      </c>
      <c r="G25" s="1">
        <v>491.64</v>
      </c>
    </row>
    <row r="26" spans="2:10" x14ac:dyDescent="0.3">
      <c r="B26" s="1" t="s">
        <v>22</v>
      </c>
      <c r="C26" s="1" t="s">
        <v>23</v>
      </c>
      <c r="D26" s="1" t="s">
        <v>24</v>
      </c>
      <c r="E26" s="1" t="s">
        <v>16</v>
      </c>
      <c r="F26" s="1">
        <v>28449</v>
      </c>
      <c r="G26" s="1">
        <v>701.1</v>
      </c>
    </row>
    <row r="27" spans="2:10" x14ac:dyDescent="0.3">
      <c r="B27" s="1" t="s">
        <v>25</v>
      </c>
      <c r="C27" s="1" t="s">
        <v>26</v>
      </c>
      <c r="D27" s="1" t="s">
        <v>27</v>
      </c>
      <c r="E27" s="1" t="s">
        <v>9</v>
      </c>
      <c r="F27" s="1">
        <v>47675</v>
      </c>
      <c r="G27" s="1">
        <v>549.36</v>
      </c>
    </row>
    <row r="28" spans="2:10" x14ac:dyDescent="0.3">
      <c r="B28" s="1" t="s">
        <v>6</v>
      </c>
      <c r="C28" s="1" t="s">
        <v>7</v>
      </c>
      <c r="D28" s="1" t="s">
        <v>8</v>
      </c>
      <c r="E28" s="1" t="s">
        <v>9</v>
      </c>
      <c r="F28" s="1">
        <v>70660</v>
      </c>
      <c r="G28" s="1">
        <v>205.22</v>
      </c>
    </row>
    <row r="29" spans="2:10" x14ac:dyDescent="0.3">
      <c r="B29" s="1" t="s">
        <v>32</v>
      </c>
      <c r="C29" s="1" t="s">
        <v>33</v>
      </c>
      <c r="D29" s="1" t="s">
        <v>21</v>
      </c>
      <c r="E29" s="1" t="s">
        <v>9</v>
      </c>
      <c r="F29" s="1">
        <v>32625</v>
      </c>
      <c r="G29" s="1">
        <v>120.12</v>
      </c>
    </row>
    <row r="30" spans="2:10" x14ac:dyDescent="0.3">
      <c r="B30" s="1" t="s">
        <v>30</v>
      </c>
      <c r="C30" s="1" t="s">
        <v>31</v>
      </c>
      <c r="D30" s="1" t="s">
        <v>21</v>
      </c>
      <c r="E30" s="1" t="s">
        <v>16</v>
      </c>
      <c r="F30" s="1">
        <v>79089</v>
      </c>
      <c r="G30" s="1">
        <v>415.03</v>
      </c>
    </row>
    <row r="33" spans="2:17" x14ac:dyDescent="0.3">
      <c r="B33" s="7" t="s">
        <v>35</v>
      </c>
      <c r="C33" s="4"/>
      <c r="D33" s="4"/>
      <c r="E33" s="4"/>
    </row>
    <row r="34" spans="2:17" x14ac:dyDescent="0.3">
      <c r="B34" s="4"/>
      <c r="C34" s="4"/>
      <c r="D34" s="4"/>
      <c r="E34" s="4"/>
    </row>
    <row r="39" spans="2:17" x14ac:dyDescent="0.3">
      <c r="C39" s="2" t="s">
        <v>0</v>
      </c>
      <c r="D39" s="1" t="s">
        <v>28</v>
      </c>
      <c r="E39" s="1" t="s">
        <v>17</v>
      </c>
      <c r="F39" s="1" t="s">
        <v>10</v>
      </c>
      <c r="G39" s="1" t="s">
        <v>14</v>
      </c>
      <c r="H39" s="1" t="s">
        <v>19</v>
      </c>
      <c r="I39" s="1" t="s">
        <v>22</v>
      </c>
      <c r="J39" s="1" t="s">
        <v>25</v>
      </c>
      <c r="K39" s="1" t="s">
        <v>6</v>
      </c>
      <c r="L39" s="1" t="s">
        <v>32</v>
      </c>
      <c r="M39" s="1" t="s">
        <v>30</v>
      </c>
      <c r="P39" s="2" t="s">
        <v>0</v>
      </c>
      <c r="Q39" s="2" t="s">
        <v>4</v>
      </c>
    </row>
    <row r="40" spans="2:17" x14ac:dyDescent="0.3">
      <c r="C40" s="2" t="s">
        <v>1</v>
      </c>
      <c r="D40" s="1" t="s">
        <v>29</v>
      </c>
      <c r="E40" s="1" t="s">
        <v>18</v>
      </c>
      <c r="F40" s="1" t="s">
        <v>11</v>
      </c>
      <c r="G40" s="1" t="s">
        <v>15</v>
      </c>
      <c r="H40" s="1" t="s">
        <v>20</v>
      </c>
      <c r="I40" s="1" t="s">
        <v>23</v>
      </c>
      <c r="J40" s="1" t="s">
        <v>26</v>
      </c>
      <c r="K40" s="1" t="s">
        <v>7</v>
      </c>
      <c r="L40" s="1" t="s">
        <v>33</v>
      </c>
      <c r="M40" s="1" t="s">
        <v>31</v>
      </c>
      <c r="P40" s="1" t="s">
        <v>19</v>
      </c>
      <c r="Q40">
        <f>HLOOKUP(P40,C39:M44,5,0)</f>
        <v>85153</v>
      </c>
    </row>
    <row r="41" spans="2:17" x14ac:dyDescent="0.3">
      <c r="C41" s="2" t="s">
        <v>2</v>
      </c>
      <c r="D41" s="1" t="s">
        <v>27</v>
      </c>
      <c r="E41" s="1" t="s">
        <v>12</v>
      </c>
      <c r="F41" s="1" t="s">
        <v>12</v>
      </c>
      <c r="G41" s="1" t="s">
        <v>8</v>
      </c>
      <c r="H41" s="1" t="s">
        <v>21</v>
      </c>
      <c r="I41" s="1" t="s">
        <v>24</v>
      </c>
      <c r="J41" s="1" t="s">
        <v>27</v>
      </c>
      <c r="K41" s="1" t="s">
        <v>8</v>
      </c>
      <c r="L41" s="1" t="s">
        <v>21</v>
      </c>
      <c r="M41" s="1" t="s">
        <v>21</v>
      </c>
    </row>
    <row r="42" spans="2:17" x14ac:dyDescent="0.3">
      <c r="C42" s="2" t="s">
        <v>3</v>
      </c>
      <c r="D42" s="1" t="s">
        <v>13</v>
      </c>
      <c r="E42" s="1" t="s">
        <v>9</v>
      </c>
      <c r="F42" s="1" t="s">
        <v>13</v>
      </c>
      <c r="G42" s="1" t="s">
        <v>16</v>
      </c>
      <c r="H42" s="1" t="s">
        <v>13</v>
      </c>
      <c r="I42" s="1" t="s">
        <v>16</v>
      </c>
      <c r="J42" s="1" t="s">
        <v>9</v>
      </c>
      <c r="K42" s="1" t="s">
        <v>9</v>
      </c>
      <c r="L42" s="1" t="s">
        <v>9</v>
      </c>
      <c r="M42" s="1" t="s">
        <v>16</v>
      </c>
    </row>
    <row r="43" spans="2:17" x14ac:dyDescent="0.3">
      <c r="C43" s="2" t="s">
        <v>4</v>
      </c>
      <c r="D43" s="1">
        <v>82126</v>
      </c>
      <c r="E43" s="1">
        <v>86452</v>
      </c>
      <c r="F43" s="1">
        <v>92185</v>
      </c>
      <c r="G43" s="1">
        <v>29796</v>
      </c>
      <c r="H43" s="1">
        <v>85153</v>
      </c>
      <c r="I43" s="1">
        <v>28449</v>
      </c>
      <c r="J43" s="1">
        <v>47675</v>
      </c>
      <c r="K43" s="1">
        <v>70660</v>
      </c>
      <c r="L43" s="1">
        <v>32625</v>
      </c>
      <c r="M43" s="1">
        <v>79089</v>
      </c>
    </row>
    <row r="44" spans="2:17" x14ac:dyDescent="0.3">
      <c r="C44" s="2" t="s">
        <v>5</v>
      </c>
      <c r="D44" s="1">
        <v>739.4</v>
      </c>
      <c r="E44" s="1">
        <v>715.39</v>
      </c>
      <c r="F44" s="1">
        <v>686.11</v>
      </c>
      <c r="G44" s="1">
        <v>84.57</v>
      </c>
      <c r="H44" s="1">
        <v>491.64</v>
      </c>
      <c r="I44" s="1">
        <v>701.1</v>
      </c>
      <c r="J44" s="1">
        <v>549.36</v>
      </c>
      <c r="K44" s="1">
        <v>205.22</v>
      </c>
      <c r="L44" s="1">
        <v>120.12</v>
      </c>
      <c r="M44" s="1">
        <v>415.03</v>
      </c>
    </row>
    <row r="47" spans="2:17" x14ac:dyDescent="0.3">
      <c r="B47" s="7" t="s">
        <v>36</v>
      </c>
      <c r="C47" s="4"/>
      <c r="D47" s="4"/>
      <c r="E47" s="4"/>
    </row>
    <row r="48" spans="2:17" x14ac:dyDescent="0.3">
      <c r="B48" s="4"/>
      <c r="C48" s="4"/>
      <c r="D48" s="4"/>
      <c r="E48" s="4"/>
    </row>
    <row r="49" spans="2:11" x14ac:dyDescent="0.3">
      <c r="B49" s="4"/>
      <c r="C49" s="4"/>
      <c r="D49" s="4"/>
      <c r="E49" s="4"/>
    </row>
    <row r="52" spans="2:11" x14ac:dyDescent="0.3">
      <c r="C52" s="2" t="s">
        <v>0</v>
      </c>
      <c r="D52" s="2" t="s">
        <v>1</v>
      </c>
      <c r="E52" s="2" t="s">
        <v>2</v>
      </c>
      <c r="F52" s="2" t="s">
        <v>3</v>
      </c>
      <c r="G52" s="2" t="s">
        <v>4</v>
      </c>
      <c r="H52" s="2" t="s">
        <v>5</v>
      </c>
    </row>
    <row r="53" spans="2:11" x14ac:dyDescent="0.3">
      <c r="C53" s="1" t="s">
        <v>28</v>
      </c>
      <c r="D53" s="1" t="s">
        <v>29</v>
      </c>
      <c r="E53" s="1" t="s">
        <v>27</v>
      </c>
      <c r="F53" s="1" t="s">
        <v>13</v>
      </c>
      <c r="G53" s="1">
        <v>82126</v>
      </c>
      <c r="H53" s="1">
        <v>739.4</v>
      </c>
      <c r="J53" s="2" t="s">
        <v>0</v>
      </c>
      <c r="K53" s="2" t="s">
        <v>4</v>
      </c>
    </row>
    <row r="54" spans="2:11" x14ac:dyDescent="0.3">
      <c r="C54" s="1" t="s">
        <v>17</v>
      </c>
      <c r="D54" s="1" t="s">
        <v>18</v>
      </c>
      <c r="E54" s="1" t="s">
        <v>12</v>
      </c>
      <c r="F54" s="1" t="s">
        <v>9</v>
      </c>
      <c r="G54" s="1">
        <v>86452</v>
      </c>
      <c r="H54" s="1">
        <v>715.39</v>
      </c>
      <c r="J54" s="1" t="s">
        <v>22</v>
      </c>
    </row>
    <row r="55" spans="2:11" x14ac:dyDescent="0.3">
      <c r="C55" s="1" t="s">
        <v>10</v>
      </c>
      <c r="D55" s="1" t="s">
        <v>11</v>
      </c>
      <c r="E55" s="1" t="s">
        <v>12</v>
      </c>
      <c r="F55" s="1" t="s">
        <v>13</v>
      </c>
      <c r="G55" s="1">
        <v>92185</v>
      </c>
      <c r="H55" s="1">
        <v>686.11</v>
      </c>
    </row>
    <row r="56" spans="2:11" x14ac:dyDescent="0.3">
      <c r="C56" s="1" t="s">
        <v>14</v>
      </c>
      <c r="D56" s="1" t="s">
        <v>15</v>
      </c>
      <c r="E56" s="1" t="s">
        <v>8</v>
      </c>
      <c r="F56" s="1" t="s">
        <v>16</v>
      </c>
      <c r="G56" s="1">
        <v>29796</v>
      </c>
      <c r="H56" s="1">
        <v>84.57</v>
      </c>
    </row>
    <row r="57" spans="2:11" x14ac:dyDescent="0.3">
      <c r="C57" s="1" t="s">
        <v>19</v>
      </c>
      <c r="D57" s="1" t="s">
        <v>20</v>
      </c>
      <c r="E57" s="1" t="s">
        <v>21</v>
      </c>
      <c r="F57" s="1" t="s">
        <v>13</v>
      </c>
      <c r="G57" s="1">
        <v>85153</v>
      </c>
      <c r="H57" s="1">
        <v>491.64</v>
      </c>
      <c r="J57" s="2" t="s">
        <v>1</v>
      </c>
      <c r="K57" s="2" t="s">
        <v>0</v>
      </c>
    </row>
    <row r="58" spans="2:11" x14ac:dyDescent="0.3">
      <c r="C58" s="1" t="s">
        <v>22</v>
      </c>
      <c r="D58" s="1" t="s">
        <v>23</v>
      </c>
      <c r="E58" s="1" t="s">
        <v>24</v>
      </c>
      <c r="F58" s="1" t="s">
        <v>16</v>
      </c>
      <c r="G58" s="1">
        <v>28449</v>
      </c>
      <c r="H58" s="1">
        <v>701.1</v>
      </c>
      <c r="J58" s="1" t="s">
        <v>20</v>
      </c>
    </row>
    <row r="59" spans="2:11" x14ac:dyDescent="0.3">
      <c r="C59" s="1" t="s">
        <v>25</v>
      </c>
      <c r="D59" s="1" t="s">
        <v>26</v>
      </c>
      <c r="E59" s="1" t="s">
        <v>27</v>
      </c>
      <c r="F59" s="1" t="s">
        <v>9</v>
      </c>
      <c r="G59" s="1">
        <v>47675</v>
      </c>
      <c r="H59" s="1">
        <v>549.36</v>
      </c>
    </row>
    <row r="60" spans="2:11" x14ac:dyDescent="0.3">
      <c r="C60" s="1" t="s">
        <v>6</v>
      </c>
      <c r="D60" s="1" t="s">
        <v>7</v>
      </c>
      <c r="E60" s="1" t="s">
        <v>8</v>
      </c>
      <c r="F60" s="1" t="s">
        <v>9</v>
      </c>
      <c r="G60" s="1">
        <v>70660</v>
      </c>
      <c r="H60" s="1">
        <v>205.22</v>
      </c>
    </row>
    <row r="61" spans="2:11" x14ac:dyDescent="0.3">
      <c r="C61" s="1" t="s">
        <v>32</v>
      </c>
      <c r="D61" s="1" t="s">
        <v>33</v>
      </c>
      <c r="E61" s="1" t="s">
        <v>21</v>
      </c>
      <c r="F61" s="1" t="s">
        <v>9</v>
      </c>
      <c r="G61" s="1">
        <v>32625</v>
      </c>
      <c r="H61" s="1">
        <v>120.12</v>
      </c>
    </row>
    <row r="62" spans="2:11" x14ac:dyDescent="0.3">
      <c r="C62" s="1" t="s">
        <v>30</v>
      </c>
      <c r="D62" s="1" t="s">
        <v>31</v>
      </c>
      <c r="E62" s="1" t="s">
        <v>21</v>
      </c>
      <c r="F62" s="1" t="s">
        <v>16</v>
      </c>
      <c r="G62" s="1">
        <v>79089</v>
      </c>
      <c r="H62" s="1">
        <v>415.03</v>
      </c>
    </row>
    <row r="65" spans="1:9" x14ac:dyDescent="0.3">
      <c r="B65" s="6" t="s">
        <v>37</v>
      </c>
      <c r="C65" s="5"/>
      <c r="D65" s="5"/>
      <c r="E65" s="5"/>
    </row>
    <row r="67" spans="1:9" x14ac:dyDescent="0.3">
      <c r="A67" s="2" t="s">
        <v>4</v>
      </c>
      <c r="B67" s="2" t="s">
        <v>0</v>
      </c>
      <c r="C67" s="2" t="s">
        <v>1</v>
      </c>
      <c r="D67" s="2" t="s">
        <v>2</v>
      </c>
      <c r="E67" s="2" t="s">
        <v>3</v>
      </c>
      <c r="F67" s="2" t="s">
        <v>5</v>
      </c>
    </row>
    <row r="68" spans="1:9" x14ac:dyDescent="0.3">
      <c r="A68" s="1">
        <v>82126</v>
      </c>
      <c r="B68" s="1" t="s">
        <v>28</v>
      </c>
      <c r="C68" s="1" t="s">
        <v>29</v>
      </c>
      <c r="D68" s="1" t="s">
        <v>27</v>
      </c>
      <c r="E68" s="1" t="s">
        <v>13</v>
      </c>
      <c r="F68" s="1">
        <v>739.4</v>
      </c>
      <c r="H68" s="1" t="s">
        <v>38</v>
      </c>
      <c r="I68" s="1" t="s">
        <v>39</v>
      </c>
    </row>
    <row r="69" spans="1:9" x14ac:dyDescent="0.3">
      <c r="A69" s="1">
        <v>86452</v>
      </c>
      <c r="B69" s="1" t="s">
        <v>17</v>
      </c>
      <c r="C69" s="1" t="s">
        <v>18</v>
      </c>
      <c r="D69" s="1" t="s">
        <v>12</v>
      </c>
      <c r="E69" s="1" t="s">
        <v>9</v>
      </c>
      <c r="F69" s="1">
        <v>715.39</v>
      </c>
      <c r="I69" t="str">
        <f>VLOOKUP(MAX(A68:A77),A67:F77,2,0)</f>
        <v xml:space="preserve">EM-1077 </v>
      </c>
    </row>
    <row r="70" spans="1:9" x14ac:dyDescent="0.3">
      <c r="A70" s="1">
        <v>92185</v>
      </c>
      <c r="B70" s="1" t="s">
        <v>10</v>
      </c>
      <c r="C70" s="1" t="s">
        <v>11</v>
      </c>
      <c r="D70" s="1" t="s">
        <v>12</v>
      </c>
      <c r="E70" s="1" t="s">
        <v>13</v>
      </c>
      <c r="F70" s="1">
        <v>686.11</v>
      </c>
    </row>
    <row r="71" spans="1:9" x14ac:dyDescent="0.3">
      <c r="A71" s="1">
        <v>29796</v>
      </c>
      <c r="B71" s="1" t="s">
        <v>14</v>
      </c>
      <c r="C71" s="1" t="s">
        <v>15</v>
      </c>
      <c r="D71" s="1" t="s">
        <v>8</v>
      </c>
      <c r="E71" s="1" t="s">
        <v>16</v>
      </c>
      <c r="F71" s="1">
        <v>84.57</v>
      </c>
    </row>
    <row r="72" spans="1:9" x14ac:dyDescent="0.3">
      <c r="A72" s="1">
        <v>85153</v>
      </c>
      <c r="B72" s="1" t="s">
        <v>19</v>
      </c>
      <c r="C72" s="1" t="s">
        <v>20</v>
      </c>
      <c r="D72" s="1" t="s">
        <v>21</v>
      </c>
      <c r="E72" s="1" t="s">
        <v>13</v>
      </c>
      <c r="F72" s="1">
        <v>491.64</v>
      </c>
    </row>
    <row r="73" spans="1:9" x14ac:dyDescent="0.3">
      <c r="A73" s="1">
        <v>28449</v>
      </c>
      <c r="B73" s="1" t="s">
        <v>22</v>
      </c>
      <c r="C73" s="1" t="s">
        <v>23</v>
      </c>
      <c r="D73" s="1" t="s">
        <v>24</v>
      </c>
      <c r="E73" s="1" t="s">
        <v>16</v>
      </c>
      <c r="F73" s="1">
        <v>701.1</v>
      </c>
    </row>
    <row r="74" spans="1:9" x14ac:dyDescent="0.3">
      <c r="A74" s="1">
        <v>47675</v>
      </c>
      <c r="B74" s="1" t="s">
        <v>25</v>
      </c>
      <c r="C74" s="1" t="s">
        <v>26</v>
      </c>
      <c r="D74" s="1" t="s">
        <v>27</v>
      </c>
      <c r="E74" s="1" t="s">
        <v>9</v>
      </c>
      <c r="F74" s="1">
        <v>549.36</v>
      </c>
    </row>
    <row r="75" spans="1:9" x14ac:dyDescent="0.3">
      <c r="A75" s="1">
        <v>70660</v>
      </c>
      <c r="B75" s="1" t="s">
        <v>6</v>
      </c>
      <c r="C75" s="1" t="s">
        <v>7</v>
      </c>
      <c r="D75" s="1" t="s">
        <v>8</v>
      </c>
      <c r="E75" s="1" t="s">
        <v>9</v>
      </c>
      <c r="F75" s="1">
        <v>205.22</v>
      </c>
    </row>
    <row r="76" spans="1:9" x14ac:dyDescent="0.3">
      <c r="A76" s="1">
        <v>32625</v>
      </c>
      <c r="B76" s="1" t="s">
        <v>32</v>
      </c>
      <c r="C76" s="1" t="s">
        <v>33</v>
      </c>
      <c r="D76" s="1" t="s">
        <v>21</v>
      </c>
      <c r="E76" s="1" t="s">
        <v>9</v>
      </c>
      <c r="F76" s="1">
        <v>120.12</v>
      </c>
    </row>
    <row r="77" spans="1:9" x14ac:dyDescent="0.3">
      <c r="A77" s="1">
        <v>79089</v>
      </c>
      <c r="B77" s="1" t="s">
        <v>30</v>
      </c>
      <c r="C77" s="1" t="s">
        <v>31</v>
      </c>
      <c r="D77" s="1" t="s">
        <v>21</v>
      </c>
      <c r="E77" s="1" t="s">
        <v>16</v>
      </c>
      <c r="F77" s="1">
        <v>415.03</v>
      </c>
    </row>
    <row r="80" spans="1:9" x14ac:dyDescent="0.3">
      <c r="A80" s="7" t="s">
        <v>40</v>
      </c>
      <c r="B80" s="4"/>
      <c r="C80" s="4"/>
      <c r="D80" s="4"/>
    </row>
    <row r="81" spans="1:11" x14ac:dyDescent="0.3">
      <c r="A81" s="4"/>
      <c r="B81" s="4"/>
      <c r="C81" s="4"/>
      <c r="D81" s="4"/>
    </row>
    <row r="82" spans="1:11" x14ac:dyDescent="0.3">
      <c r="A82" s="4"/>
      <c r="B82" s="4"/>
      <c r="C82" s="4"/>
      <c r="D82" s="4"/>
    </row>
    <row r="85" spans="1:11" x14ac:dyDescent="0.3">
      <c r="B85" s="1" t="s">
        <v>41</v>
      </c>
      <c r="C85" s="2" t="s">
        <v>1</v>
      </c>
      <c r="D85" s="2" t="s">
        <v>2</v>
      </c>
      <c r="E85" s="2" t="s">
        <v>3</v>
      </c>
      <c r="F85" s="2" t="s">
        <v>4</v>
      </c>
      <c r="G85" s="2" t="s">
        <v>5</v>
      </c>
      <c r="H85" s="2" t="s">
        <v>0</v>
      </c>
      <c r="I85" s="8" t="s">
        <v>42</v>
      </c>
      <c r="J85" s="3"/>
      <c r="K85" s="1" t="s">
        <v>23</v>
      </c>
    </row>
    <row r="86" spans="1:11" x14ac:dyDescent="0.3">
      <c r="B86" s="1">
        <v>1</v>
      </c>
      <c r="C86" s="1" t="s">
        <v>29</v>
      </c>
      <c r="D86" s="1" t="s">
        <v>27</v>
      </c>
      <c r="E86" s="1" t="s">
        <v>13</v>
      </c>
      <c r="F86" s="1">
        <v>82126</v>
      </c>
      <c r="G86" s="1">
        <v>739.4</v>
      </c>
      <c r="H86" s="1" t="s">
        <v>28</v>
      </c>
    </row>
    <row r="87" spans="1:11" x14ac:dyDescent="0.3">
      <c r="B87" s="1">
        <v>2</v>
      </c>
      <c r="C87" s="1" t="s">
        <v>18</v>
      </c>
      <c r="D87" s="1" t="s">
        <v>12</v>
      </c>
      <c r="E87" s="1" t="s">
        <v>9</v>
      </c>
      <c r="F87" s="1">
        <v>86452</v>
      </c>
      <c r="G87" s="1">
        <v>715.39</v>
      </c>
      <c r="H87" s="1" t="s">
        <v>17</v>
      </c>
      <c r="I87">
        <f>MATCH(K85,C86:C95,0)</f>
        <v>6</v>
      </c>
    </row>
    <row r="88" spans="1:11" x14ac:dyDescent="0.3">
      <c r="B88" s="1">
        <v>3</v>
      </c>
      <c r="C88" s="1" t="s">
        <v>11</v>
      </c>
      <c r="D88" s="1" t="s">
        <v>12</v>
      </c>
      <c r="E88" s="1" t="s">
        <v>13</v>
      </c>
      <c r="F88" s="1">
        <v>92185</v>
      </c>
      <c r="G88" s="1">
        <v>686.11</v>
      </c>
      <c r="H88" s="1" t="s">
        <v>10</v>
      </c>
      <c r="I88" s="9" t="s">
        <v>43</v>
      </c>
    </row>
    <row r="89" spans="1:11" x14ac:dyDescent="0.3">
      <c r="B89" s="1">
        <v>4</v>
      </c>
      <c r="C89" s="1" t="s">
        <v>15</v>
      </c>
      <c r="D89" s="1" t="s">
        <v>8</v>
      </c>
      <c r="E89" s="1" t="s">
        <v>16</v>
      </c>
      <c r="F89" s="1">
        <v>29796</v>
      </c>
      <c r="G89" s="1">
        <v>84.57</v>
      </c>
      <c r="H89" s="1" t="s">
        <v>14</v>
      </c>
    </row>
    <row r="90" spans="1:11" x14ac:dyDescent="0.3">
      <c r="B90" s="1">
        <v>5</v>
      </c>
      <c r="C90" s="1" t="s">
        <v>20</v>
      </c>
      <c r="D90" s="1" t="s">
        <v>21</v>
      </c>
      <c r="E90" s="1" t="s">
        <v>13</v>
      </c>
      <c r="F90" s="1">
        <v>85153</v>
      </c>
      <c r="G90" s="1">
        <v>491.64</v>
      </c>
      <c r="H90" s="1" t="s">
        <v>19</v>
      </c>
    </row>
    <row r="91" spans="1:11" x14ac:dyDescent="0.3">
      <c r="B91" s="1">
        <v>6</v>
      </c>
      <c r="C91" s="1" t="s">
        <v>23</v>
      </c>
      <c r="D91" s="1" t="s">
        <v>24</v>
      </c>
      <c r="E91" s="1" t="s">
        <v>16</v>
      </c>
      <c r="F91" s="1">
        <v>28449</v>
      </c>
      <c r="G91" s="1">
        <v>701.1</v>
      </c>
      <c r="H91" s="1" t="s">
        <v>22</v>
      </c>
    </row>
    <row r="92" spans="1:11" x14ac:dyDescent="0.3">
      <c r="B92" s="1">
        <v>7</v>
      </c>
      <c r="C92" s="1" t="s">
        <v>26</v>
      </c>
      <c r="D92" s="1" t="s">
        <v>27</v>
      </c>
      <c r="E92" s="1" t="s">
        <v>9</v>
      </c>
      <c r="F92" s="1">
        <v>47675</v>
      </c>
      <c r="G92" s="1">
        <v>549.36</v>
      </c>
      <c r="H92" s="1" t="s">
        <v>25</v>
      </c>
    </row>
    <row r="93" spans="1:11" x14ac:dyDescent="0.3">
      <c r="B93" s="1">
        <v>8</v>
      </c>
      <c r="C93" s="1" t="s">
        <v>7</v>
      </c>
      <c r="D93" s="1" t="s">
        <v>8</v>
      </c>
      <c r="E93" s="1" t="s">
        <v>9</v>
      </c>
      <c r="F93" s="1">
        <v>70660</v>
      </c>
      <c r="G93" s="1">
        <v>205.22</v>
      </c>
      <c r="H93" s="1" t="s">
        <v>6</v>
      </c>
    </row>
    <row r="94" spans="1:11" x14ac:dyDescent="0.3">
      <c r="B94" s="1">
        <v>9</v>
      </c>
      <c r="C94" s="1" t="s">
        <v>33</v>
      </c>
      <c r="D94" s="1" t="s">
        <v>21</v>
      </c>
      <c r="E94" s="1" t="s">
        <v>9</v>
      </c>
      <c r="F94" s="1">
        <v>32625</v>
      </c>
      <c r="G94" s="1">
        <v>120.12</v>
      </c>
      <c r="H94" s="1" t="s">
        <v>32</v>
      </c>
    </row>
    <row r="95" spans="1:11" x14ac:dyDescent="0.3">
      <c r="B95" s="1">
        <v>10</v>
      </c>
      <c r="C95" s="1" t="s">
        <v>31</v>
      </c>
      <c r="D95" s="1" t="s">
        <v>21</v>
      </c>
      <c r="E95" s="1" t="s">
        <v>16</v>
      </c>
      <c r="F95" s="1">
        <v>79089</v>
      </c>
      <c r="G95" s="1">
        <v>415.03</v>
      </c>
      <c r="H95" s="1" t="s">
        <v>30</v>
      </c>
    </row>
    <row r="98" spans="2:10" x14ac:dyDescent="0.3">
      <c r="B98" s="7" t="s">
        <v>44</v>
      </c>
      <c r="C98" s="4"/>
      <c r="D98" s="4"/>
      <c r="E98" s="4"/>
    </row>
    <row r="99" spans="2:10" x14ac:dyDescent="0.3">
      <c r="B99" s="4"/>
      <c r="C99" s="4"/>
      <c r="D99" s="4"/>
      <c r="E99" s="4"/>
    </row>
    <row r="101" spans="2:10" x14ac:dyDescent="0.3">
      <c r="B101" s="2" t="s">
        <v>0</v>
      </c>
      <c r="C101" s="2" t="s">
        <v>1</v>
      </c>
      <c r="D101" s="2" t="s">
        <v>2</v>
      </c>
      <c r="E101" s="2" t="s">
        <v>3</v>
      </c>
      <c r="F101" s="2" t="s">
        <v>4</v>
      </c>
      <c r="G101" s="2" t="s">
        <v>5</v>
      </c>
    </row>
    <row r="102" spans="2:10" x14ac:dyDescent="0.3">
      <c r="B102" s="1" t="s">
        <v>28</v>
      </c>
      <c r="C102" s="1" t="s">
        <v>29</v>
      </c>
      <c r="D102" s="1" t="s">
        <v>27</v>
      </c>
      <c r="E102" s="1" t="s">
        <v>13</v>
      </c>
      <c r="F102" s="1">
        <v>82126</v>
      </c>
      <c r="G102" s="1">
        <v>739.4</v>
      </c>
      <c r="I102" s="2" t="s">
        <v>2</v>
      </c>
      <c r="J102" s="2" t="s">
        <v>1</v>
      </c>
    </row>
    <row r="103" spans="2:10" x14ac:dyDescent="0.3">
      <c r="B103" s="1" t="s">
        <v>17</v>
      </c>
      <c r="C103" s="1" t="s">
        <v>18</v>
      </c>
      <c r="D103" s="1" t="s">
        <v>12</v>
      </c>
      <c r="E103" s="1" t="s">
        <v>9</v>
      </c>
      <c r="F103" s="1">
        <v>86452</v>
      </c>
      <c r="G103" s="1">
        <v>715.39</v>
      </c>
      <c r="I103" s="1" t="s">
        <v>10</v>
      </c>
      <c r="J103" t="str">
        <f>VLOOKUP(I103,B101:G111,MATCH(J102,B101:G101,0),0)</f>
        <v xml:space="preserve">Krishna </v>
      </c>
    </row>
    <row r="104" spans="2:10" x14ac:dyDescent="0.3">
      <c r="B104" s="1" t="s">
        <v>10</v>
      </c>
      <c r="C104" s="1" t="s">
        <v>11</v>
      </c>
      <c r="D104" s="1" t="s">
        <v>12</v>
      </c>
      <c r="E104" s="1" t="s">
        <v>13</v>
      </c>
      <c r="F104" s="1">
        <v>92185</v>
      </c>
      <c r="G104" s="1">
        <v>686.11</v>
      </c>
    </row>
    <row r="105" spans="2:10" x14ac:dyDescent="0.3">
      <c r="B105" s="1" t="s">
        <v>14</v>
      </c>
      <c r="C105" s="1" t="s">
        <v>15</v>
      </c>
      <c r="D105" s="1" t="s">
        <v>8</v>
      </c>
      <c r="E105" s="1" t="s">
        <v>16</v>
      </c>
      <c r="F105" s="1">
        <v>29796</v>
      </c>
      <c r="G105" s="1">
        <v>84.57</v>
      </c>
    </row>
    <row r="106" spans="2:10" x14ac:dyDescent="0.3">
      <c r="B106" s="1" t="s">
        <v>19</v>
      </c>
      <c r="C106" s="1" t="s">
        <v>20</v>
      </c>
      <c r="D106" s="1" t="s">
        <v>21</v>
      </c>
      <c r="E106" s="1" t="s">
        <v>13</v>
      </c>
      <c r="F106" s="1">
        <v>85153</v>
      </c>
      <c r="G106" s="1">
        <v>491.64</v>
      </c>
    </row>
    <row r="107" spans="2:10" x14ac:dyDescent="0.3">
      <c r="B107" s="1" t="s">
        <v>22</v>
      </c>
      <c r="C107" s="1" t="s">
        <v>23</v>
      </c>
      <c r="D107" s="1" t="s">
        <v>24</v>
      </c>
      <c r="E107" s="1" t="s">
        <v>16</v>
      </c>
      <c r="F107" s="1">
        <v>28449</v>
      </c>
      <c r="G107" s="1">
        <v>701.1</v>
      </c>
    </row>
    <row r="108" spans="2:10" x14ac:dyDescent="0.3">
      <c r="B108" s="1" t="s">
        <v>25</v>
      </c>
      <c r="C108" s="1" t="s">
        <v>26</v>
      </c>
      <c r="D108" s="1" t="s">
        <v>27</v>
      </c>
      <c r="E108" s="1" t="s">
        <v>9</v>
      </c>
      <c r="F108" s="1">
        <v>47675</v>
      </c>
      <c r="G108" s="1">
        <v>549.36</v>
      </c>
    </row>
    <row r="109" spans="2:10" x14ac:dyDescent="0.3">
      <c r="B109" s="1" t="s">
        <v>6</v>
      </c>
      <c r="C109" s="1" t="s">
        <v>7</v>
      </c>
      <c r="D109" s="1" t="s">
        <v>8</v>
      </c>
      <c r="E109" s="1" t="s">
        <v>9</v>
      </c>
      <c r="F109" s="1">
        <v>70660</v>
      </c>
      <c r="G109" s="1">
        <v>205.22</v>
      </c>
    </row>
    <row r="110" spans="2:10" x14ac:dyDescent="0.3">
      <c r="B110" s="1" t="s">
        <v>32</v>
      </c>
      <c r="C110" s="1" t="s">
        <v>33</v>
      </c>
      <c r="D110" s="1" t="s">
        <v>21</v>
      </c>
      <c r="E110" s="1" t="s">
        <v>9</v>
      </c>
      <c r="F110" s="1">
        <v>32625</v>
      </c>
      <c r="G110" s="1">
        <v>120.12</v>
      </c>
    </row>
    <row r="111" spans="2:10" x14ac:dyDescent="0.3">
      <c r="B111" s="1" t="s">
        <v>30</v>
      </c>
      <c r="C111" s="1" t="s">
        <v>31</v>
      </c>
      <c r="D111" s="1" t="s">
        <v>21</v>
      </c>
      <c r="E111" s="1" t="s">
        <v>16</v>
      </c>
      <c r="F111" s="1">
        <v>79089</v>
      </c>
      <c r="G111" s="1">
        <v>415.03</v>
      </c>
    </row>
    <row r="114" spans="2:14" x14ac:dyDescent="0.3">
      <c r="B114" s="7" t="s">
        <v>45</v>
      </c>
      <c r="C114" s="4"/>
      <c r="D114" s="4"/>
      <c r="E114" s="4"/>
    </row>
    <row r="115" spans="2:14" x14ac:dyDescent="0.3">
      <c r="B115" s="4"/>
      <c r="C115" s="4"/>
      <c r="D115" s="4"/>
      <c r="E115" s="4"/>
    </row>
    <row r="116" spans="2:14" x14ac:dyDescent="0.3">
      <c r="B116" s="4"/>
      <c r="C116" s="4"/>
      <c r="D116" s="4"/>
      <c r="E116" s="4"/>
    </row>
    <row r="119" spans="2:14" x14ac:dyDescent="0.3">
      <c r="D119" t="e">
        <f>CHOOSE({1,2,3},B101:B111,E101:E111,D101:D111)</f>
        <v>#VALUE!</v>
      </c>
    </row>
    <row r="123" spans="2:14" x14ac:dyDescent="0.3">
      <c r="B123" s="7" t="s">
        <v>46</v>
      </c>
      <c r="C123" s="4"/>
      <c r="D123" s="4"/>
      <c r="E123" s="4"/>
    </row>
    <row r="124" spans="2:14" x14ac:dyDescent="0.3">
      <c r="B124" s="4"/>
      <c r="C124" s="4"/>
      <c r="D124" s="4"/>
      <c r="E124" s="4"/>
    </row>
    <row r="125" spans="2:14" x14ac:dyDescent="0.3">
      <c r="B125" s="4"/>
      <c r="C125" s="4"/>
      <c r="D125" s="4"/>
      <c r="E125" s="4"/>
    </row>
    <row r="127" spans="2:14" x14ac:dyDescent="0.3">
      <c r="C127" s="2" t="s">
        <v>0</v>
      </c>
      <c r="D127" s="2" t="s">
        <v>1</v>
      </c>
      <c r="E127" s="2" t="s">
        <v>2</v>
      </c>
      <c r="G127" s="2" t="s">
        <v>1</v>
      </c>
      <c r="H127" s="2" t="s">
        <v>3</v>
      </c>
      <c r="I127" s="2" t="s">
        <v>4</v>
      </c>
      <c r="J127" s="2" t="s">
        <v>5</v>
      </c>
    </row>
    <row r="128" spans="2:14" x14ac:dyDescent="0.3">
      <c r="C128" s="1" t="s">
        <v>28</v>
      </c>
      <c r="D128" s="1" t="s">
        <v>29</v>
      </c>
      <c r="E128" s="1" t="s">
        <v>27</v>
      </c>
      <c r="G128" s="1" t="s">
        <v>29</v>
      </c>
      <c r="H128" s="1" t="s">
        <v>13</v>
      </c>
      <c r="I128" s="1">
        <v>82126</v>
      </c>
      <c r="J128" s="1">
        <v>739.4</v>
      </c>
      <c r="M128" s="2" t="s">
        <v>0</v>
      </c>
      <c r="N128" s="2" t="s">
        <v>4</v>
      </c>
    </row>
    <row r="129" spans="2:14" x14ac:dyDescent="0.3">
      <c r="C129" s="1" t="s">
        <v>17</v>
      </c>
      <c r="D129" s="1" t="s">
        <v>18</v>
      </c>
      <c r="E129" s="1" t="s">
        <v>12</v>
      </c>
      <c r="G129" s="1" t="s">
        <v>18</v>
      </c>
      <c r="H129" s="1" t="s">
        <v>9</v>
      </c>
      <c r="I129" s="1">
        <v>86452</v>
      </c>
      <c r="J129" s="1">
        <v>715.39</v>
      </c>
      <c r="M129" s="1" t="s">
        <v>14</v>
      </c>
      <c r="N129">
        <f>VLOOKUP(VLOOKUP(M129,C127:E137,2,0),G127:J137,3,0)</f>
        <v>29796</v>
      </c>
    </row>
    <row r="130" spans="2:14" x14ac:dyDescent="0.3">
      <c r="C130" s="1" t="s">
        <v>10</v>
      </c>
      <c r="D130" s="1" t="s">
        <v>11</v>
      </c>
      <c r="E130" s="1" t="s">
        <v>12</v>
      </c>
      <c r="G130" s="1" t="s">
        <v>11</v>
      </c>
      <c r="H130" s="1" t="s">
        <v>13</v>
      </c>
      <c r="I130" s="1">
        <v>92185</v>
      </c>
      <c r="J130" s="1">
        <v>686.11</v>
      </c>
    </row>
    <row r="131" spans="2:14" x14ac:dyDescent="0.3">
      <c r="C131" s="1" t="s">
        <v>14</v>
      </c>
      <c r="D131" s="1" t="s">
        <v>15</v>
      </c>
      <c r="E131" s="1" t="s">
        <v>8</v>
      </c>
      <c r="G131" s="1" t="s">
        <v>15</v>
      </c>
      <c r="H131" s="1" t="s">
        <v>16</v>
      </c>
      <c r="I131" s="1">
        <v>29796</v>
      </c>
      <c r="J131" s="1">
        <v>84.57</v>
      </c>
    </row>
    <row r="132" spans="2:14" x14ac:dyDescent="0.3">
      <c r="C132" s="1" t="s">
        <v>19</v>
      </c>
      <c r="D132" s="1" t="s">
        <v>20</v>
      </c>
      <c r="E132" s="1" t="s">
        <v>21</v>
      </c>
      <c r="G132" s="1" t="s">
        <v>20</v>
      </c>
      <c r="H132" s="1" t="s">
        <v>13</v>
      </c>
      <c r="I132" s="1">
        <v>85153</v>
      </c>
      <c r="J132" s="1">
        <v>491.64</v>
      </c>
    </row>
    <row r="133" spans="2:14" x14ac:dyDescent="0.3">
      <c r="C133" s="1" t="s">
        <v>22</v>
      </c>
      <c r="D133" s="1" t="s">
        <v>23</v>
      </c>
      <c r="E133" s="1" t="s">
        <v>24</v>
      </c>
      <c r="G133" s="1" t="s">
        <v>23</v>
      </c>
      <c r="H133" s="1" t="s">
        <v>16</v>
      </c>
      <c r="I133" s="1">
        <v>28449</v>
      </c>
      <c r="J133" s="1">
        <v>701.1</v>
      </c>
    </row>
    <row r="134" spans="2:14" x14ac:dyDescent="0.3">
      <c r="C134" s="1" t="s">
        <v>25</v>
      </c>
      <c r="D134" s="1" t="s">
        <v>26</v>
      </c>
      <c r="E134" s="1" t="s">
        <v>27</v>
      </c>
      <c r="G134" s="1" t="s">
        <v>26</v>
      </c>
      <c r="H134" s="1" t="s">
        <v>9</v>
      </c>
      <c r="I134" s="1">
        <v>47675</v>
      </c>
      <c r="J134" s="1">
        <v>549.36</v>
      </c>
    </row>
    <row r="135" spans="2:14" x14ac:dyDescent="0.3">
      <c r="C135" s="1" t="s">
        <v>6</v>
      </c>
      <c r="D135" s="1" t="s">
        <v>7</v>
      </c>
      <c r="E135" s="1" t="s">
        <v>8</v>
      </c>
      <c r="G135" s="1" t="s">
        <v>7</v>
      </c>
      <c r="H135" s="1" t="s">
        <v>9</v>
      </c>
      <c r="I135" s="1">
        <v>70660</v>
      </c>
      <c r="J135" s="1">
        <v>205.22</v>
      </c>
    </row>
    <row r="136" spans="2:14" x14ac:dyDescent="0.3">
      <c r="C136" s="1" t="s">
        <v>32</v>
      </c>
      <c r="D136" s="1" t="s">
        <v>33</v>
      </c>
      <c r="E136" s="1" t="s">
        <v>21</v>
      </c>
      <c r="G136" s="1" t="s">
        <v>33</v>
      </c>
      <c r="H136" s="1" t="s">
        <v>9</v>
      </c>
      <c r="I136" s="1">
        <v>32625</v>
      </c>
      <c r="J136" s="1">
        <v>120.12</v>
      </c>
    </row>
    <row r="137" spans="2:14" x14ac:dyDescent="0.3">
      <c r="C137" s="1" t="s">
        <v>30</v>
      </c>
      <c r="D137" s="1" t="s">
        <v>31</v>
      </c>
      <c r="E137" s="1" t="s">
        <v>21</v>
      </c>
      <c r="G137" s="1" t="s">
        <v>31</v>
      </c>
      <c r="H137" s="1" t="s">
        <v>16</v>
      </c>
      <c r="I137" s="1">
        <v>79089</v>
      </c>
      <c r="J137" s="1">
        <v>415.03</v>
      </c>
    </row>
    <row r="143" spans="2:14" x14ac:dyDescent="0.3">
      <c r="B143" s="7" t="s">
        <v>47</v>
      </c>
      <c r="C143" s="4"/>
      <c r="D143" s="4"/>
      <c r="E143" s="4"/>
    </row>
    <row r="144" spans="2:14" x14ac:dyDescent="0.3">
      <c r="B144" s="4"/>
      <c r="C144" s="4"/>
      <c r="D144" s="4"/>
      <c r="E144" s="4"/>
    </row>
    <row r="145" spans="2:8" x14ac:dyDescent="0.3">
      <c r="B145" s="4"/>
      <c r="C145" s="4"/>
      <c r="D145" s="4"/>
      <c r="E145" s="4"/>
    </row>
    <row r="147" spans="2:8" x14ac:dyDescent="0.3">
      <c r="C147" s="2" t="s">
        <v>1</v>
      </c>
      <c r="D147" s="2" t="s">
        <v>3</v>
      </c>
      <c r="E147" s="2" t="s">
        <v>4</v>
      </c>
      <c r="F147" s="2" t="s">
        <v>5</v>
      </c>
    </row>
    <row r="148" spans="2:8" x14ac:dyDescent="0.3">
      <c r="C148" s="1" t="s">
        <v>29</v>
      </c>
      <c r="D148" s="1" t="s">
        <v>13</v>
      </c>
      <c r="E148" s="1">
        <v>82126</v>
      </c>
      <c r="F148" s="1">
        <v>739.4</v>
      </c>
      <c r="H148" t="s">
        <v>48</v>
      </c>
    </row>
    <row r="149" spans="2:8" x14ac:dyDescent="0.3">
      <c r="C149" s="1" t="s">
        <v>18</v>
      </c>
      <c r="D149" s="1" t="s">
        <v>9</v>
      </c>
      <c r="E149" s="1">
        <v>86452</v>
      </c>
      <c r="F149" s="1">
        <v>715.39</v>
      </c>
      <c r="H149">
        <f>INDEX(C147:F157,5,3)</f>
        <v>29796</v>
      </c>
    </row>
    <row r="150" spans="2:8" x14ac:dyDescent="0.3">
      <c r="C150" s="1" t="s">
        <v>11</v>
      </c>
      <c r="D150" s="1" t="s">
        <v>13</v>
      </c>
      <c r="E150" s="1">
        <v>92185</v>
      </c>
      <c r="F150" s="1">
        <v>686.11</v>
      </c>
    </row>
    <row r="151" spans="2:8" x14ac:dyDescent="0.3">
      <c r="C151" s="1" t="s">
        <v>15</v>
      </c>
      <c r="D151" s="1" t="s">
        <v>16</v>
      </c>
      <c r="E151" s="1">
        <v>29796</v>
      </c>
      <c r="F151" s="1">
        <v>84.57</v>
      </c>
    </row>
    <row r="152" spans="2:8" x14ac:dyDescent="0.3">
      <c r="C152" s="1" t="s">
        <v>20</v>
      </c>
      <c r="D152" s="1" t="s">
        <v>13</v>
      </c>
      <c r="E152" s="1">
        <v>85153</v>
      </c>
      <c r="F152" s="1">
        <v>491.64</v>
      </c>
    </row>
    <row r="153" spans="2:8" x14ac:dyDescent="0.3">
      <c r="C153" s="1" t="s">
        <v>23</v>
      </c>
      <c r="D153" s="1" t="s">
        <v>16</v>
      </c>
      <c r="E153" s="1">
        <v>28449</v>
      </c>
      <c r="F153" s="1">
        <v>701.1</v>
      </c>
    </row>
    <row r="154" spans="2:8" x14ac:dyDescent="0.3">
      <c r="C154" s="1" t="s">
        <v>26</v>
      </c>
      <c r="D154" s="1" t="s">
        <v>9</v>
      </c>
      <c r="E154" s="1">
        <v>47675</v>
      </c>
      <c r="F154" s="1">
        <v>549.36</v>
      </c>
    </row>
    <row r="155" spans="2:8" x14ac:dyDescent="0.3">
      <c r="C155" s="1" t="s">
        <v>7</v>
      </c>
      <c r="D155" s="1" t="s">
        <v>9</v>
      </c>
      <c r="E155" s="1">
        <v>70660</v>
      </c>
      <c r="F155" s="1">
        <v>205.22</v>
      </c>
    </row>
    <row r="156" spans="2:8" x14ac:dyDescent="0.3">
      <c r="C156" s="1" t="s">
        <v>33</v>
      </c>
      <c r="D156" s="1" t="s">
        <v>9</v>
      </c>
      <c r="E156" s="1">
        <v>32625</v>
      </c>
      <c r="F156" s="1">
        <v>120.12</v>
      </c>
    </row>
    <row r="157" spans="2:8" x14ac:dyDescent="0.3">
      <c r="C157" s="1" t="s">
        <v>31</v>
      </c>
      <c r="D157" s="1" t="s">
        <v>16</v>
      </c>
      <c r="E157" s="1">
        <v>79089</v>
      </c>
      <c r="F157" s="1">
        <v>415.03</v>
      </c>
    </row>
    <row r="160" spans="2:8" x14ac:dyDescent="0.3">
      <c r="B160" s="7" t="s">
        <v>49</v>
      </c>
      <c r="C160" s="4"/>
      <c r="D160" s="4"/>
      <c r="E160" s="4"/>
    </row>
    <row r="161" spans="2:9" x14ac:dyDescent="0.3">
      <c r="B161" s="4"/>
      <c r="C161" s="4"/>
      <c r="D161" s="4"/>
      <c r="E161" s="4"/>
    </row>
    <row r="162" spans="2:9" x14ac:dyDescent="0.3">
      <c r="B162" s="4"/>
      <c r="C162" s="4"/>
      <c r="D162" s="4"/>
      <c r="E162" s="4"/>
    </row>
    <row r="167" spans="2:9" x14ac:dyDescent="0.3">
      <c r="C167" s="2" t="s">
        <v>1</v>
      </c>
      <c r="D167" s="2" t="s">
        <v>3</v>
      </c>
      <c r="E167" s="2" t="s">
        <v>4</v>
      </c>
      <c r="F167" s="2" t="s">
        <v>5</v>
      </c>
      <c r="H167" s="2" t="s">
        <v>5</v>
      </c>
      <c r="I167" s="2" t="s">
        <v>3</v>
      </c>
    </row>
    <row r="168" spans="2:9" x14ac:dyDescent="0.3">
      <c r="C168" s="1" t="s">
        <v>29</v>
      </c>
      <c r="D168" s="1" t="s">
        <v>13</v>
      </c>
      <c r="E168" s="1">
        <v>82126</v>
      </c>
      <c r="F168" s="1">
        <v>739.4</v>
      </c>
      <c r="H168" s="1">
        <v>84.57</v>
      </c>
      <c r="I168" t="str">
        <f>INDEX(C168:F177,MATCH(H168,F168:F177,0),2)</f>
        <v xml:space="preserve">Bata </v>
      </c>
    </row>
    <row r="169" spans="2:9" x14ac:dyDescent="0.3">
      <c r="C169" s="1" t="s">
        <v>18</v>
      </c>
      <c r="D169" s="1" t="s">
        <v>9</v>
      </c>
      <c r="E169" s="1">
        <v>86452</v>
      </c>
      <c r="F169" s="1">
        <v>715.39</v>
      </c>
    </row>
    <row r="170" spans="2:9" x14ac:dyDescent="0.3">
      <c r="C170" s="1" t="s">
        <v>11</v>
      </c>
      <c r="D170" s="1" t="s">
        <v>13</v>
      </c>
      <c r="E170" s="1">
        <v>92185</v>
      </c>
      <c r="F170" s="1">
        <v>686.11</v>
      </c>
    </row>
    <row r="171" spans="2:9" x14ac:dyDescent="0.3">
      <c r="C171" s="1" t="s">
        <v>15</v>
      </c>
      <c r="D171" s="1" t="s">
        <v>16</v>
      </c>
      <c r="E171" s="1">
        <v>29796</v>
      </c>
      <c r="F171" s="1">
        <v>84.57</v>
      </c>
    </row>
    <row r="172" spans="2:9" x14ac:dyDescent="0.3">
      <c r="C172" s="1" t="s">
        <v>20</v>
      </c>
      <c r="D172" s="1" t="s">
        <v>13</v>
      </c>
      <c r="E172" s="1">
        <v>85153</v>
      </c>
      <c r="F172" s="1">
        <v>491.64</v>
      </c>
    </row>
    <row r="173" spans="2:9" x14ac:dyDescent="0.3">
      <c r="C173" s="1" t="s">
        <v>23</v>
      </c>
      <c r="D173" s="1" t="s">
        <v>16</v>
      </c>
      <c r="E173" s="1">
        <v>28449</v>
      </c>
      <c r="F173" s="1">
        <v>701.1</v>
      </c>
    </row>
    <row r="174" spans="2:9" x14ac:dyDescent="0.3">
      <c r="C174" s="1" t="s">
        <v>26</v>
      </c>
      <c r="D174" s="1" t="s">
        <v>9</v>
      </c>
      <c r="E174" s="1">
        <v>47675</v>
      </c>
      <c r="F174" s="1">
        <v>549.36</v>
      </c>
    </row>
    <row r="175" spans="2:9" x14ac:dyDescent="0.3">
      <c r="C175" s="1" t="s">
        <v>7</v>
      </c>
      <c r="D175" s="1" t="s">
        <v>9</v>
      </c>
      <c r="E175" s="1">
        <v>70660</v>
      </c>
      <c r="F175" s="1">
        <v>205.22</v>
      </c>
    </row>
    <row r="176" spans="2:9" x14ac:dyDescent="0.3">
      <c r="C176" s="1" t="s">
        <v>33</v>
      </c>
      <c r="D176" s="1" t="s">
        <v>9</v>
      </c>
      <c r="E176" s="1">
        <v>32625</v>
      </c>
      <c r="F176" s="1">
        <v>120.12</v>
      </c>
    </row>
    <row r="177" spans="3:6" x14ac:dyDescent="0.3">
      <c r="C177" s="1" t="s">
        <v>31</v>
      </c>
      <c r="D177" s="1" t="s">
        <v>16</v>
      </c>
      <c r="E177" s="1">
        <v>79089</v>
      </c>
      <c r="F177" s="1">
        <v>415.03</v>
      </c>
    </row>
  </sheetData>
  <sortState xmlns:xlrd2="http://schemas.microsoft.com/office/spreadsheetml/2017/richdata2" ref="B5:G14">
    <sortCondition ref="B5:B14"/>
  </sortState>
  <mergeCells count="12">
    <mergeCell ref="I85:J85"/>
    <mergeCell ref="B98:E99"/>
    <mergeCell ref="B114:E116"/>
    <mergeCell ref="B123:E125"/>
    <mergeCell ref="B143:E145"/>
    <mergeCell ref="B160:E162"/>
    <mergeCell ref="B18:C18"/>
    <mergeCell ref="B33:E34"/>
    <mergeCell ref="B47:E49"/>
    <mergeCell ref="B65:E65"/>
    <mergeCell ref="A80:D82"/>
    <mergeCell ref="D1:O3"/>
  </mergeCells>
  <dataValidations count="1">
    <dataValidation type="list" allowBlank="1" showInputMessage="1" showErrorMessage="1" sqref="I102:J102" xr:uid="{DDDFDE94-5F28-45AA-8162-DB36B070EE76}">
      <formula1>$B$101:$G$101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Anshil Gautam</dc:creator>
  <cp:lastModifiedBy>Anshil Gautam</cp:lastModifiedBy>
  <dcterms:created xsi:type="dcterms:W3CDTF">2026-05-25T01:44:31Z</dcterms:created>
  <dcterms:modified xsi:type="dcterms:W3CDTF">2026-05-26T04:04:39Z</dcterms:modified>
</cp:coreProperties>
</file>