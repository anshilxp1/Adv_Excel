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TPA\EXCEL\"/>
    </mc:Choice>
  </mc:AlternateContent>
  <xr:revisionPtr revIDLastSave="0" documentId="8_{8E1C3EA6-F699-44E4-AF2B-A0FAC69ED54A}" xr6:coauthVersionLast="47" xr6:coauthVersionMax="47" xr10:uidLastSave="{00000000-0000-0000-0000-000000000000}"/>
  <bookViews>
    <workbookView xWindow="-108" yWindow="-108" windowWidth="23256" windowHeight="12456" firstSheet="4" activeTab="14" xr2:uid="{699507D1-306A-45FA-8DAE-03F0888EC53E}"/>
  </bookViews>
  <sheets>
    <sheet name="Sheet1" sheetId="1" r:id="rId1"/>
    <sheet name="Sheet2" sheetId="2" r:id="rId2"/>
    <sheet name="Sheet3" sheetId="3" r:id="rId3"/>
    <sheet name="Sheet4" sheetId="4" r:id="rId4"/>
    <sheet name="EAST" sheetId="5" r:id="rId5"/>
    <sheet name="SOUTH" sheetId="6" r:id="rId6"/>
    <sheet name="WEST" sheetId="7" r:id="rId7"/>
    <sheet name="NORTH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5" l="1"/>
  <c r="C15" i="15"/>
  <c r="D15" i="15"/>
  <c r="E15" i="15"/>
  <c r="F15" i="15"/>
  <c r="G15" i="15"/>
  <c r="B16" i="15"/>
  <c r="C16" i="15"/>
  <c r="D16" i="15"/>
  <c r="E16" i="15"/>
  <c r="F16" i="15"/>
  <c r="G16" i="15"/>
  <c r="B17" i="15"/>
  <c r="C17" i="15"/>
  <c r="D17" i="15"/>
  <c r="E17" i="15"/>
  <c r="F17" i="15"/>
  <c r="G17" i="15"/>
  <c r="B18" i="15"/>
  <c r="C18" i="15"/>
  <c r="D18" i="15"/>
  <c r="E18" i="15"/>
  <c r="F18" i="15"/>
  <c r="G18" i="15"/>
  <c r="B19" i="15"/>
  <c r="C19" i="15"/>
  <c r="D19" i="15"/>
  <c r="E19" i="15"/>
  <c r="F19" i="15"/>
  <c r="G19" i="15"/>
  <c r="C14" i="15"/>
  <c r="D14" i="15"/>
  <c r="E14" i="15"/>
  <c r="F14" i="15"/>
  <c r="G14" i="15"/>
  <c r="B14" i="15"/>
  <c r="G5" i="14"/>
  <c r="G6" i="14"/>
  <c r="G7" i="14"/>
  <c r="G4" i="14"/>
  <c r="D5" i="14"/>
  <c r="E5" i="14"/>
  <c r="F5" i="14"/>
  <c r="D6" i="14"/>
  <c r="E6" i="14"/>
  <c r="F6" i="14"/>
  <c r="D7" i="14"/>
  <c r="E7" i="14"/>
  <c r="F7" i="14"/>
  <c r="E4" i="14"/>
  <c r="F4" i="14"/>
  <c r="D4" i="14"/>
  <c r="B6" i="12"/>
  <c r="C6" i="12"/>
  <c r="D6" i="12"/>
  <c r="B7" i="12"/>
  <c r="C7" i="12"/>
  <c r="D7" i="12"/>
  <c r="B8" i="12"/>
  <c r="C8" i="12"/>
  <c r="D8" i="12"/>
  <c r="C5" i="12"/>
  <c r="D5" i="12"/>
  <c r="B5" i="12"/>
  <c r="B5" i="11"/>
  <c r="C5" i="11"/>
  <c r="D5" i="11"/>
  <c r="B6" i="11"/>
  <c r="C6" i="11"/>
  <c r="D6" i="11"/>
  <c r="B7" i="11"/>
  <c r="C7" i="11"/>
  <c r="D7" i="11"/>
  <c r="C4" i="11"/>
  <c r="D4" i="11"/>
  <c r="B4" i="11"/>
  <c r="D5" i="10"/>
  <c r="D6" i="10"/>
  <c r="D4" i="10"/>
  <c r="E4" i="9"/>
  <c r="E5" i="9"/>
  <c r="E6" i="9"/>
  <c r="E7" i="9"/>
  <c r="E3" i="9"/>
  <c r="B23" i="4"/>
  <c r="C23" i="4"/>
  <c r="D23" i="4"/>
  <c r="E23" i="4"/>
  <c r="B24" i="4"/>
  <c r="C24" i="4"/>
  <c r="D24" i="4"/>
  <c r="E24" i="4"/>
  <c r="C22" i="4"/>
  <c r="D22" i="4"/>
  <c r="E22" i="4"/>
  <c r="B22" i="4"/>
  <c r="B17" i="4"/>
  <c r="C17" i="4"/>
  <c r="D17" i="4"/>
  <c r="E17" i="4"/>
  <c r="B18" i="4"/>
  <c r="C18" i="4"/>
  <c r="D18" i="4"/>
  <c r="E18" i="4"/>
  <c r="C16" i="4"/>
  <c r="D16" i="4"/>
  <c r="E16" i="4"/>
  <c r="B16" i="4"/>
  <c r="B11" i="4"/>
  <c r="C11" i="4"/>
  <c r="D11" i="4"/>
  <c r="E11" i="4"/>
  <c r="B12" i="4"/>
  <c r="C12" i="4"/>
  <c r="D12" i="4"/>
  <c r="E12" i="4"/>
  <c r="C10" i="4"/>
  <c r="D10" i="4"/>
  <c r="E10" i="4"/>
  <c r="B10" i="4"/>
  <c r="B5" i="4"/>
  <c r="C5" i="4"/>
  <c r="D5" i="4"/>
  <c r="E5" i="4"/>
  <c r="B6" i="4"/>
  <c r="C6" i="4"/>
  <c r="D6" i="4"/>
  <c r="E6" i="4"/>
  <c r="C4" i="4"/>
  <c r="D4" i="4"/>
  <c r="E4" i="4"/>
  <c r="B4" i="4"/>
  <c r="B5" i="3"/>
  <c r="C5" i="3"/>
  <c r="D5" i="3"/>
  <c r="E5" i="3"/>
  <c r="F5" i="3"/>
  <c r="B6" i="3"/>
  <c r="C6" i="3"/>
  <c r="D6" i="3"/>
  <c r="E6" i="3"/>
  <c r="F6" i="3"/>
  <c r="B7" i="3"/>
  <c r="C7" i="3"/>
  <c r="D7" i="3"/>
  <c r="E7" i="3"/>
  <c r="F7" i="3"/>
  <c r="B8" i="3"/>
  <c r="C8" i="3"/>
  <c r="D8" i="3"/>
  <c r="E8" i="3"/>
  <c r="F8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D14" i="3"/>
  <c r="E14" i="3"/>
  <c r="F14" i="3"/>
  <c r="B15" i="3"/>
  <c r="C15" i="3"/>
  <c r="D15" i="3"/>
  <c r="E15" i="3"/>
  <c r="F15" i="3"/>
  <c r="B16" i="3"/>
  <c r="C16" i="3"/>
  <c r="D16" i="3"/>
  <c r="E16" i="3"/>
  <c r="F16" i="3"/>
  <c r="B17" i="3"/>
  <c r="C17" i="3"/>
  <c r="D17" i="3"/>
  <c r="E17" i="3"/>
  <c r="F17" i="3"/>
  <c r="B18" i="3"/>
  <c r="C18" i="3"/>
  <c r="D18" i="3"/>
  <c r="E18" i="3"/>
  <c r="F18" i="3"/>
  <c r="B19" i="3"/>
  <c r="C19" i="3"/>
  <c r="D19" i="3"/>
  <c r="E19" i="3"/>
  <c r="F19" i="3"/>
  <c r="B20" i="3"/>
  <c r="C20" i="3"/>
  <c r="D20" i="3"/>
  <c r="E20" i="3"/>
  <c r="F20" i="3"/>
  <c r="C4" i="3"/>
  <c r="D4" i="3"/>
  <c r="E4" i="3"/>
  <c r="F4" i="3"/>
  <c r="B4" i="3"/>
  <c r="F6" i="2"/>
  <c r="F7" i="2"/>
  <c r="F5" i="2"/>
  <c r="E6" i="2"/>
  <c r="E7" i="2"/>
  <c r="E5" i="2"/>
  <c r="D6" i="2"/>
  <c r="D7" i="2"/>
  <c r="D5" i="2"/>
  <c r="D4" i="1"/>
  <c r="D5" i="1"/>
  <c r="D3" i="1"/>
</calcChain>
</file>

<file path=xl/sharedStrings.xml><?xml version="1.0" encoding="utf-8"?>
<sst xmlns="http://schemas.openxmlformats.org/spreadsheetml/2006/main" count="180" uniqueCount="93">
  <si>
    <t>Item</t>
  </si>
  <si>
    <t>Quantity</t>
  </si>
  <si>
    <t>Rate</t>
  </si>
  <si>
    <t>Total Amount</t>
  </si>
  <si>
    <t>Mouse</t>
  </si>
  <si>
    <t>KeyBoard</t>
  </si>
  <si>
    <t>LED Moniter</t>
  </si>
  <si>
    <t>Q1. USE RELATIVE REFERENCING</t>
  </si>
  <si>
    <t>QUESTION-1</t>
  </si>
  <si>
    <t>Discount Percentage</t>
  </si>
  <si>
    <t>Discount</t>
  </si>
  <si>
    <t>QUESTION-2</t>
  </si>
  <si>
    <t>Axis</t>
  </si>
  <si>
    <t>ICICI</t>
  </si>
  <si>
    <t>Bandhan</t>
  </si>
  <si>
    <t>SBI</t>
  </si>
  <si>
    <t>HDFC</t>
  </si>
  <si>
    <t>Loan Amount</t>
  </si>
  <si>
    <t>QUESTION-3</t>
  </si>
  <si>
    <t>QUES- USE MIXED REFERENCING</t>
  </si>
  <si>
    <t>QUES- USE ABSOLUTE REFERENCING</t>
  </si>
  <si>
    <t>Q-1</t>
  </si>
  <si>
    <t>Q-2</t>
  </si>
  <si>
    <t>Q-3</t>
  </si>
  <si>
    <t>Q-4</t>
  </si>
  <si>
    <t>QUESTION-4</t>
  </si>
  <si>
    <t>NORTH</t>
  </si>
  <si>
    <t>EAST</t>
  </si>
  <si>
    <t>SOUTH</t>
  </si>
  <si>
    <t>WEST</t>
  </si>
  <si>
    <t>QUES- USE SHEET REFERENCING</t>
  </si>
  <si>
    <t>Salesman</t>
  </si>
  <si>
    <t>Jan</t>
  </si>
  <si>
    <t>Feb</t>
  </si>
  <si>
    <t>Mar</t>
  </si>
  <si>
    <t>Total</t>
  </si>
  <si>
    <t>Amit</t>
  </si>
  <si>
    <t>Ravi</t>
  </si>
  <si>
    <t>Sanjay</t>
  </si>
  <si>
    <t>Bikash</t>
  </si>
  <si>
    <t>Rajesh</t>
  </si>
  <si>
    <t>QUESTION-5</t>
  </si>
  <si>
    <t>Product</t>
  </si>
  <si>
    <t>Qty</t>
  </si>
  <si>
    <t>GST@18%</t>
  </si>
  <si>
    <t>X</t>
  </si>
  <si>
    <t>Y</t>
  </si>
  <si>
    <t>Z</t>
  </si>
  <si>
    <t>QUESTION-6</t>
  </si>
  <si>
    <t>City Wise HRA Calculation</t>
  </si>
  <si>
    <t>Basic</t>
  </si>
  <si>
    <t>Kolkata</t>
  </si>
  <si>
    <t>Delhi</t>
  </si>
  <si>
    <t>Mumbai</t>
  </si>
  <si>
    <t>KOLKATA</t>
  </si>
  <si>
    <t>MUMBAI</t>
  </si>
  <si>
    <t>DELHI</t>
  </si>
  <si>
    <t>SALARY</t>
  </si>
  <si>
    <t>QUESTION-7</t>
  </si>
  <si>
    <t>QUESTION-8</t>
  </si>
  <si>
    <t>Loan amount</t>
  </si>
  <si>
    <t>QUESTION-9</t>
  </si>
  <si>
    <t>code</t>
  </si>
  <si>
    <t>name</t>
  </si>
  <si>
    <t>basic</t>
  </si>
  <si>
    <t>DA</t>
  </si>
  <si>
    <t>TA</t>
  </si>
  <si>
    <t>HRA</t>
  </si>
  <si>
    <t>ajay roy</t>
  </si>
  <si>
    <t>vijay</t>
  </si>
  <si>
    <t>neel sharma</t>
  </si>
  <si>
    <t>sunil todi</t>
  </si>
  <si>
    <t>QUESTION-10</t>
  </si>
  <si>
    <t>COMMISSION(%)</t>
  </si>
  <si>
    <t>EMPLOYEES</t>
  </si>
  <si>
    <t>REVENUE GENERATED</t>
  </si>
  <si>
    <t>JANUARY</t>
  </si>
  <si>
    <t>FEBRUARY</t>
  </si>
  <si>
    <t>MARCH</t>
  </si>
  <si>
    <t>APRIL</t>
  </si>
  <si>
    <t>MAY</t>
  </si>
  <si>
    <t>JUNE</t>
  </si>
  <si>
    <t>RAJ</t>
  </si>
  <si>
    <t>MANOJ</t>
  </si>
  <si>
    <t>IMRAN</t>
  </si>
  <si>
    <t>ANKIT</t>
  </si>
  <si>
    <t>PARTHA</t>
  </si>
  <si>
    <t>TAPAS</t>
  </si>
  <si>
    <t>Calculate incentive of each month of every employee with the help of mixed cell reference</t>
  </si>
  <si>
    <t>QUESTION-11</t>
  </si>
  <si>
    <t>amount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</si>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</sst>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9" fontId="0" fillId="0" borderId="1" xfId="1" applyFont="1" applyBorder="1" applyAlignment="1">
      <alignment horizontal="center"/>
    </xf>
    <xf numFmtId="9" fontId="0" fillId="0" borderId="1" xfId="1" applyFont="1" applyBorder="1"/>
    <xf numFmtId="0" fontId="2" fillId="0" borderId="1" xfId="0" applyFont="1" applyBorder="1" applyAlignment="1">
      <alignment horizontal="center"/>
    </xf>
    <xf numFmtId="9" fontId="0" fillId="0" borderId="0" xfId="1" applyFont="1" applyAlignment="1">
      <alignment horizontal="center"/>
    </xf>
    <xf numFmtId="9" fontId="0" fillId="0" borderId="1" xfId="0" applyNumberFormat="1" applyBorder="1"/>
    <xf numFmtId="0" fontId="3" fillId="2" borderId="1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0" fillId="0" borderId="3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GST@18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E3D3-FDD0-4B6F-B535-8265B680FAA4}">
  <dimension ref="A1:D7"/>
  <sheetViews>
    <sheetView zoomScale="113" workbookViewId="0">
      <selection activeCell="D3" sqref="D3:D5"/>
    </sheetView>
  </sheetViews>
  <sheetFormatPr defaultColWidth="9.21875" defaultRowHeight="14.4" x14ac:dyDescent="0.3"/>
  <cols>
    <col min="1" max="1" width="13.5546875" bestFit="1" customWidth="1"/>
    <col min="2" max="2" width="10.44140625" bestFit="1" customWidth="1"/>
    <col min="3" max="3" width="8.21875" customWidth="1"/>
    <col min="4" max="4" width="14.5546875" bestFit="1" customWidth="1"/>
  </cols>
  <sheetData>
    <row r="1" spans="1:4" x14ac:dyDescent="0.3">
      <c r="A1" s="13" t="s">
        <v>8</v>
      </c>
      <c r="B1" s="13"/>
      <c r="C1" s="13"/>
      <c r="D1" s="13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4</v>
      </c>
      <c r="B3" s="1">
        <v>12</v>
      </c>
      <c r="C3" s="1">
        <v>255</v>
      </c>
      <c r="D3" s="1">
        <f>B3 *C3</f>
        <v>3060</v>
      </c>
    </row>
    <row r="4" spans="1:4" x14ac:dyDescent="0.3">
      <c r="A4" s="1" t="s">
        <v>5</v>
      </c>
      <c r="B4" s="1">
        <v>15</v>
      </c>
      <c r="C4" s="1">
        <v>340</v>
      </c>
      <c r="D4" s="1">
        <f t="shared" ref="D4:D5" si="0">B4 *C4</f>
        <v>5100</v>
      </c>
    </row>
    <row r="5" spans="1:4" x14ac:dyDescent="0.3">
      <c r="A5" s="1" t="s">
        <v>6</v>
      </c>
      <c r="B5" s="1">
        <v>9</v>
      </c>
      <c r="C5" s="1">
        <v>6200</v>
      </c>
      <c r="D5" s="1">
        <f t="shared" si="0"/>
        <v>55800</v>
      </c>
    </row>
    <row r="7" spans="1:4" x14ac:dyDescent="0.3">
      <c r="A7" s="12" t="s">
        <v>7</v>
      </c>
      <c r="B7" s="12"/>
      <c r="C7" s="12"/>
      <c r="D7" s="12"/>
    </row>
  </sheetData>
  <mergeCells count="2">
    <mergeCell ref="A7:D7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5376-6FCA-4834-8901-F6763829C085}">
  <dimension ref="A1:G9"/>
  <sheetViews>
    <sheetView workbookViewId="0">
      <selection activeCell="I8" sqref="I8"/>
    </sheetView>
  </sheetViews>
  <sheetFormatPr defaultRowHeight="14.4" x14ac:dyDescent="0.3"/>
  <cols>
    <col min="1" max="1" width="17.88671875" bestFit="1" customWidth="1"/>
    <col min="2" max="2" width="8" bestFit="1" customWidth="1"/>
    <col min="3" max="3" width="4.77734375" bestFit="1" customWidth="1"/>
    <col min="4" max="4" width="8.109375" bestFit="1" customWidth="1"/>
    <col min="5" max="5" width="12.21875" bestFit="1" customWidth="1"/>
  </cols>
  <sheetData>
    <row r="1" spans="1:7" x14ac:dyDescent="0.3">
      <c r="A1" s="13" t="s">
        <v>11</v>
      </c>
      <c r="B1" s="13"/>
      <c r="C1" s="13"/>
      <c r="D1" s="13"/>
      <c r="E1" s="13"/>
    </row>
    <row r="2" spans="1:7" x14ac:dyDescent="0.3">
      <c r="A2" s="12" t="s">
        <v>9</v>
      </c>
      <c r="B2" s="12"/>
      <c r="C2" s="12"/>
      <c r="D2" s="12"/>
      <c r="E2" s="4">
        <v>0.05</v>
      </c>
    </row>
    <row r="4" spans="1:7" x14ac:dyDescent="0.3">
      <c r="A4" s="1" t="s">
        <v>0</v>
      </c>
      <c r="B4" s="1" t="s">
        <v>1</v>
      </c>
      <c r="C4" s="1" t="s">
        <v>2</v>
      </c>
      <c r="D4" s="18" t="s">
        <v>90</v>
      </c>
      <c r="E4" s="1" t="s">
        <v>10</v>
      </c>
      <c r="F4" t="s">
        <v>3</v>
      </c>
      <c r="G4" s="1"/>
    </row>
    <row r="5" spans="1:7" x14ac:dyDescent="0.3">
      <c r="A5" s="1" t="s">
        <v>4</v>
      </c>
      <c r="B5" s="1">
        <v>12</v>
      </c>
      <c r="C5" s="1">
        <v>255</v>
      </c>
      <c r="D5" s="1">
        <f>B5*C5</f>
        <v>3060</v>
      </c>
      <c r="E5" s="1">
        <f>D5*$E$2</f>
        <v>153</v>
      </c>
      <c r="F5">
        <f>B5*E5</f>
        <v>1836</v>
      </c>
    </row>
    <row r="6" spans="1:7" x14ac:dyDescent="0.3">
      <c r="A6" s="1" t="s">
        <v>5</v>
      </c>
      <c r="B6" s="1">
        <v>15</v>
      </c>
      <c r="C6" s="1">
        <v>340</v>
      </c>
      <c r="D6" s="1">
        <f t="shared" ref="D6:D7" si="0">B6*C6</f>
        <v>5100</v>
      </c>
      <c r="E6" s="1">
        <f t="shared" ref="E6:E7" si="1">D6*$E$2</f>
        <v>255</v>
      </c>
      <c r="F6">
        <f t="shared" ref="F6:F7" si="2">B6*E6</f>
        <v>3825</v>
      </c>
    </row>
    <row r="7" spans="1:7" x14ac:dyDescent="0.3">
      <c r="A7" s="1" t="s">
        <v>6</v>
      </c>
      <c r="B7" s="1">
        <v>9</v>
      </c>
      <c r="C7" s="1">
        <v>6200</v>
      </c>
      <c r="D7" s="1">
        <f t="shared" si="0"/>
        <v>55800</v>
      </c>
      <c r="E7" s="1">
        <f t="shared" si="1"/>
        <v>2790</v>
      </c>
      <c r="F7">
        <f t="shared" si="2"/>
        <v>25110</v>
      </c>
    </row>
    <row r="9" spans="1:7" x14ac:dyDescent="0.3">
      <c r="A9" s="14" t="s">
        <v>20</v>
      </c>
      <c r="B9" s="14"/>
      <c r="C9" s="14"/>
      <c r="D9" s="14"/>
      <c r="E9" s="14"/>
    </row>
  </sheetData>
  <mergeCells count="3">
    <mergeCell ref="A2:D2"/>
    <mergeCell ref="A1:E1"/>
    <mergeCell ref="A9:E9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F200-A330-4F9A-860C-C1AE85279F34}">
  <dimension ref="A1:F22"/>
  <sheetViews>
    <sheetView workbookViewId="0">
      <selection activeCell="J15" sqref="J15"/>
    </sheetView>
  </sheetViews>
  <sheetFormatPr defaultColWidth="9.21875" defaultRowHeight="14.4" x14ac:dyDescent="0.3"/>
  <cols>
    <col min="1" max="1" width="13.77734375" customWidth="1"/>
    <col min="2" max="2" width="7" bestFit="1" customWidth="1"/>
    <col min="3" max="3" width="6.77734375" bestFit="1" customWidth="1"/>
    <col min="4" max="5" width="8.77734375" bestFit="1" customWidth="1"/>
    <col min="6" max="6" width="6.77734375" bestFit="1" customWidth="1"/>
    <col min="7" max="7" width="11" bestFit="1" customWidth="1"/>
  </cols>
  <sheetData>
    <row r="1" spans="1:6" x14ac:dyDescent="0.3">
      <c r="A1" s="15" t="s">
        <v>18</v>
      </c>
      <c r="B1" s="15"/>
      <c r="C1" s="15"/>
      <c r="D1" s="15"/>
      <c r="E1" s="15"/>
      <c r="F1" s="15"/>
    </row>
    <row r="2" spans="1:6" x14ac:dyDescent="0.3">
      <c r="A2" s="3"/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</row>
    <row r="3" spans="1:6" x14ac:dyDescent="0.3">
      <c r="A3" s="3" t="s">
        <v>17</v>
      </c>
      <c r="B3" s="5">
        <v>0.12</v>
      </c>
      <c r="C3" s="5">
        <v>0.13</v>
      </c>
      <c r="D3" s="5">
        <v>0.125</v>
      </c>
      <c r="E3" s="5">
        <v>0.105</v>
      </c>
      <c r="F3" s="5">
        <v>0.14000000000000001</v>
      </c>
    </row>
    <row r="4" spans="1:6" x14ac:dyDescent="0.3">
      <c r="A4" s="3">
        <v>2374500</v>
      </c>
      <c r="B4" s="3">
        <f>$A4*B$3</f>
        <v>284940</v>
      </c>
      <c r="C4" s="3">
        <f t="shared" ref="C4:F19" si="0">$A4*C$3</f>
        <v>308685</v>
      </c>
      <c r="D4" s="3">
        <f t="shared" si="0"/>
        <v>296812.5</v>
      </c>
      <c r="E4" s="3">
        <f t="shared" si="0"/>
        <v>249322.5</v>
      </c>
      <c r="F4" s="3">
        <f t="shared" si="0"/>
        <v>332430.00000000006</v>
      </c>
    </row>
    <row r="5" spans="1:6" x14ac:dyDescent="0.3">
      <c r="A5" s="3">
        <v>754500</v>
      </c>
      <c r="B5" s="3">
        <f t="shared" ref="B5:F20" si="1">$A5*B$3</f>
        <v>90540</v>
      </c>
      <c r="C5" s="3">
        <f t="shared" si="0"/>
        <v>98085</v>
      </c>
      <c r="D5" s="3">
        <f t="shared" si="0"/>
        <v>94312.5</v>
      </c>
      <c r="E5" s="3">
        <f t="shared" si="0"/>
        <v>79222.5</v>
      </c>
      <c r="F5" s="3">
        <f t="shared" si="0"/>
        <v>105630.00000000001</v>
      </c>
    </row>
    <row r="6" spans="1:6" x14ac:dyDescent="0.3">
      <c r="A6" s="3">
        <v>3497000</v>
      </c>
      <c r="B6" s="3">
        <f t="shared" si="1"/>
        <v>419640</v>
      </c>
      <c r="C6" s="3">
        <f t="shared" si="0"/>
        <v>454610</v>
      </c>
      <c r="D6" s="3">
        <f t="shared" si="0"/>
        <v>437125</v>
      </c>
      <c r="E6" s="3">
        <f t="shared" si="0"/>
        <v>367185</v>
      </c>
      <c r="F6" s="3">
        <f t="shared" si="0"/>
        <v>489580.00000000006</v>
      </c>
    </row>
    <row r="7" spans="1:6" x14ac:dyDescent="0.3">
      <c r="A7" s="3">
        <v>2515000</v>
      </c>
      <c r="B7" s="3">
        <f t="shared" si="1"/>
        <v>301800</v>
      </c>
      <c r="C7" s="3">
        <f t="shared" si="0"/>
        <v>326950</v>
      </c>
      <c r="D7" s="3">
        <f t="shared" si="0"/>
        <v>314375</v>
      </c>
      <c r="E7" s="3">
        <f t="shared" si="0"/>
        <v>264075</v>
      </c>
      <c r="F7" s="3">
        <f t="shared" si="0"/>
        <v>352100.00000000006</v>
      </c>
    </row>
    <row r="8" spans="1:6" x14ac:dyDescent="0.3">
      <c r="A8" s="3">
        <v>4715500</v>
      </c>
      <c r="B8" s="3">
        <f t="shared" si="1"/>
        <v>565860</v>
      </c>
      <c r="C8" s="3">
        <f t="shared" si="0"/>
        <v>613015</v>
      </c>
      <c r="D8" s="3">
        <f t="shared" si="0"/>
        <v>589437.5</v>
      </c>
      <c r="E8" s="3">
        <f t="shared" si="0"/>
        <v>495127.5</v>
      </c>
      <c r="F8" s="3">
        <f t="shared" si="0"/>
        <v>660170.00000000012</v>
      </c>
    </row>
    <row r="9" spans="1:6" x14ac:dyDescent="0.3">
      <c r="A9" s="3">
        <v>233000</v>
      </c>
      <c r="B9" s="3">
        <f t="shared" si="1"/>
        <v>27960</v>
      </c>
      <c r="C9" s="3">
        <f t="shared" si="0"/>
        <v>30290</v>
      </c>
      <c r="D9" s="3">
        <f t="shared" si="0"/>
        <v>29125</v>
      </c>
      <c r="E9" s="3">
        <f t="shared" si="0"/>
        <v>24465</v>
      </c>
      <c r="F9" s="3">
        <f t="shared" si="0"/>
        <v>32620.000000000004</v>
      </c>
    </row>
    <row r="10" spans="1:6" x14ac:dyDescent="0.3">
      <c r="A10" s="3">
        <v>2751500</v>
      </c>
      <c r="B10" s="3">
        <f t="shared" si="1"/>
        <v>330180</v>
      </c>
      <c r="C10" s="3">
        <f t="shared" si="0"/>
        <v>357695</v>
      </c>
      <c r="D10" s="3">
        <f t="shared" si="0"/>
        <v>343937.5</v>
      </c>
      <c r="E10" s="3">
        <f t="shared" si="0"/>
        <v>288907.5</v>
      </c>
      <c r="F10" s="3">
        <f t="shared" si="0"/>
        <v>385210.00000000006</v>
      </c>
    </row>
    <row r="11" spans="1:6" x14ac:dyDescent="0.3">
      <c r="A11" s="3">
        <v>1629000</v>
      </c>
      <c r="B11" s="3">
        <f t="shared" si="1"/>
        <v>195480</v>
      </c>
      <c r="C11" s="3">
        <f t="shared" si="0"/>
        <v>211770</v>
      </c>
      <c r="D11" s="3">
        <f t="shared" si="0"/>
        <v>203625</v>
      </c>
      <c r="E11" s="3">
        <f t="shared" si="0"/>
        <v>171045</v>
      </c>
      <c r="F11" s="3">
        <f t="shared" si="0"/>
        <v>228060.00000000003</v>
      </c>
    </row>
    <row r="12" spans="1:6" x14ac:dyDescent="0.3">
      <c r="A12" s="3">
        <v>2157500</v>
      </c>
      <c r="B12" s="3">
        <f t="shared" si="1"/>
        <v>258900</v>
      </c>
      <c r="C12" s="3">
        <f t="shared" si="0"/>
        <v>280475</v>
      </c>
      <c r="D12" s="3">
        <f t="shared" si="0"/>
        <v>269687.5</v>
      </c>
      <c r="E12" s="3">
        <f t="shared" si="0"/>
        <v>226537.5</v>
      </c>
      <c r="F12" s="3">
        <f t="shared" si="0"/>
        <v>302050</v>
      </c>
    </row>
    <row r="13" spans="1:6" x14ac:dyDescent="0.3">
      <c r="A13" s="3">
        <v>3806000</v>
      </c>
      <c r="B13" s="3">
        <f t="shared" si="1"/>
        <v>456720</v>
      </c>
      <c r="C13" s="3">
        <f t="shared" si="0"/>
        <v>494780</v>
      </c>
      <c r="D13" s="3">
        <f t="shared" si="0"/>
        <v>475750</v>
      </c>
      <c r="E13" s="3">
        <f t="shared" si="0"/>
        <v>399630</v>
      </c>
      <c r="F13" s="3">
        <f t="shared" si="0"/>
        <v>532840</v>
      </c>
    </row>
    <row r="14" spans="1:6" x14ac:dyDescent="0.3">
      <c r="A14" s="3">
        <v>570500</v>
      </c>
      <c r="B14" s="3">
        <f t="shared" si="1"/>
        <v>68460</v>
      </c>
      <c r="C14" s="3">
        <f t="shared" si="0"/>
        <v>74165</v>
      </c>
      <c r="D14" s="3">
        <f t="shared" si="0"/>
        <v>71312.5</v>
      </c>
      <c r="E14" s="3">
        <f t="shared" si="0"/>
        <v>59902.5</v>
      </c>
      <c r="F14" s="3">
        <f t="shared" si="0"/>
        <v>79870.000000000015</v>
      </c>
    </row>
    <row r="15" spans="1:6" x14ac:dyDescent="0.3">
      <c r="A15" s="3">
        <v>2397000</v>
      </c>
      <c r="B15" s="3">
        <f t="shared" si="1"/>
        <v>287640</v>
      </c>
      <c r="C15" s="3">
        <f t="shared" si="0"/>
        <v>311610</v>
      </c>
      <c r="D15" s="3">
        <f t="shared" si="0"/>
        <v>299625</v>
      </c>
      <c r="E15" s="3">
        <f t="shared" si="0"/>
        <v>251685</v>
      </c>
      <c r="F15" s="3">
        <f t="shared" si="0"/>
        <v>335580.00000000006</v>
      </c>
    </row>
    <row r="16" spans="1:6" x14ac:dyDescent="0.3">
      <c r="A16" s="3">
        <v>4094000</v>
      </c>
      <c r="B16" s="3">
        <f t="shared" si="1"/>
        <v>491280</v>
      </c>
      <c r="C16" s="3">
        <f t="shared" si="0"/>
        <v>532220</v>
      </c>
      <c r="D16" s="3">
        <f t="shared" si="0"/>
        <v>511750</v>
      </c>
      <c r="E16" s="3">
        <f t="shared" si="0"/>
        <v>429870</v>
      </c>
      <c r="F16" s="3">
        <f t="shared" si="0"/>
        <v>573160</v>
      </c>
    </row>
    <row r="17" spans="1:6" x14ac:dyDescent="0.3">
      <c r="A17" s="3">
        <v>682000</v>
      </c>
      <c r="B17" s="3">
        <f t="shared" si="1"/>
        <v>81840</v>
      </c>
      <c r="C17" s="3">
        <f t="shared" si="0"/>
        <v>88660</v>
      </c>
      <c r="D17" s="3">
        <f t="shared" si="0"/>
        <v>85250</v>
      </c>
      <c r="E17" s="3">
        <f t="shared" si="0"/>
        <v>71610</v>
      </c>
      <c r="F17" s="3">
        <f t="shared" si="0"/>
        <v>95480.000000000015</v>
      </c>
    </row>
    <row r="18" spans="1:6" x14ac:dyDescent="0.3">
      <c r="A18" s="3">
        <v>1367000</v>
      </c>
      <c r="B18" s="3">
        <f t="shared" si="1"/>
        <v>164040</v>
      </c>
      <c r="C18" s="3">
        <f t="shared" si="0"/>
        <v>177710</v>
      </c>
      <c r="D18" s="3">
        <f t="shared" si="0"/>
        <v>170875</v>
      </c>
      <c r="E18" s="3">
        <f t="shared" si="0"/>
        <v>143535</v>
      </c>
      <c r="F18" s="3">
        <f t="shared" si="0"/>
        <v>191380.00000000003</v>
      </c>
    </row>
    <row r="19" spans="1:6" x14ac:dyDescent="0.3">
      <c r="A19" s="3">
        <v>1479000</v>
      </c>
      <c r="B19" s="3">
        <f t="shared" si="1"/>
        <v>177480</v>
      </c>
      <c r="C19" s="3">
        <f t="shared" si="0"/>
        <v>192270</v>
      </c>
      <c r="D19" s="3">
        <f t="shared" si="0"/>
        <v>184875</v>
      </c>
      <c r="E19" s="3">
        <f t="shared" si="0"/>
        <v>155295</v>
      </c>
      <c r="F19" s="3">
        <f t="shared" si="0"/>
        <v>207060.00000000003</v>
      </c>
    </row>
    <row r="20" spans="1:6" x14ac:dyDescent="0.3">
      <c r="A20" s="3">
        <v>1184000</v>
      </c>
      <c r="B20" s="3">
        <f t="shared" si="1"/>
        <v>142080</v>
      </c>
      <c r="C20" s="3">
        <f t="shared" si="1"/>
        <v>153920</v>
      </c>
      <c r="D20" s="3">
        <f t="shared" si="1"/>
        <v>148000</v>
      </c>
      <c r="E20" s="3">
        <f t="shared" si="1"/>
        <v>124320</v>
      </c>
      <c r="F20" s="3">
        <f t="shared" si="1"/>
        <v>165760.00000000003</v>
      </c>
    </row>
    <row r="22" spans="1:6" x14ac:dyDescent="0.3">
      <c r="A22" s="14" t="s">
        <v>19</v>
      </c>
      <c r="B22" s="14"/>
      <c r="C22" s="14"/>
      <c r="D22" s="14"/>
      <c r="E22" s="14"/>
      <c r="F22" s="14"/>
    </row>
  </sheetData>
  <mergeCells count="2">
    <mergeCell ref="A1:F1"/>
    <mergeCell ref="A22:F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25B7-77FE-43AC-8A1D-72B5338096EC}">
  <dimension ref="A1:J24"/>
  <sheetViews>
    <sheetView workbookViewId="0">
      <selection activeCell="B22" sqref="B22:E24"/>
    </sheetView>
  </sheetViews>
  <sheetFormatPr defaultRowHeight="14.4" x14ac:dyDescent="0.3"/>
  <cols>
    <col min="1" max="1" width="12.44140625" bestFit="1" customWidth="1"/>
    <col min="2" max="2" width="7.77734375" customWidth="1"/>
    <col min="3" max="3" width="8.21875" customWidth="1"/>
    <col min="4" max="4" width="7.88671875" customWidth="1"/>
    <col min="5" max="5" width="7.44140625" customWidth="1"/>
  </cols>
  <sheetData>
    <row r="1" spans="1:10" x14ac:dyDescent="0.3">
      <c r="A1" s="13" t="s">
        <v>25</v>
      </c>
      <c r="B1" s="13"/>
      <c r="C1" s="13"/>
      <c r="D1" s="13"/>
      <c r="E1" s="13"/>
      <c r="F1" s="12" t="s">
        <v>30</v>
      </c>
      <c r="G1" s="12"/>
      <c r="H1" s="12"/>
      <c r="I1" s="12"/>
      <c r="J1" s="12"/>
    </row>
    <row r="2" spans="1:10" x14ac:dyDescent="0.3">
      <c r="A2" s="12" t="s">
        <v>26</v>
      </c>
      <c r="B2" s="12"/>
      <c r="C2" s="12"/>
      <c r="D2" s="12"/>
      <c r="E2" s="12"/>
    </row>
    <row r="3" spans="1:10" x14ac:dyDescent="0.3">
      <c r="A3" s="3" t="s">
        <v>0</v>
      </c>
      <c r="B3" s="3" t="s">
        <v>21</v>
      </c>
      <c r="C3" s="3" t="s">
        <v>22</v>
      </c>
      <c r="D3" s="3" t="s">
        <v>23</v>
      </c>
      <c r="E3" s="3" t="s">
        <v>24</v>
      </c>
    </row>
    <row r="4" spans="1:10" x14ac:dyDescent="0.3">
      <c r="A4" s="3" t="s">
        <v>4</v>
      </c>
      <c r="B4" s="3">
        <f>NORTH!B3</f>
        <v>44</v>
      </c>
      <c r="C4" s="3">
        <f>NORTH!C3</f>
        <v>37</v>
      </c>
      <c r="D4" s="3">
        <f>NORTH!D3</f>
        <v>35</v>
      </c>
      <c r="E4" s="3">
        <f>NORTH!E3</f>
        <v>37</v>
      </c>
    </row>
    <row r="5" spans="1:10" x14ac:dyDescent="0.3">
      <c r="A5" s="3" t="s">
        <v>5</v>
      </c>
      <c r="B5" s="3">
        <f>NORTH!B4</f>
        <v>8</v>
      </c>
      <c r="C5" s="3">
        <f>NORTH!C4</f>
        <v>17</v>
      </c>
      <c r="D5" s="3">
        <f>NORTH!D4</f>
        <v>24</v>
      </c>
      <c r="E5" s="3">
        <f>NORTH!E4</f>
        <v>55</v>
      </c>
    </row>
    <row r="6" spans="1:10" x14ac:dyDescent="0.3">
      <c r="A6" s="3" t="s">
        <v>6</v>
      </c>
      <c r="B6" s="3">
        <f>NORTH!B5</f>
        <v>45</v>
      </c>
      <c r="C6" s="3">
        <f>NORTH!C5</f>
        <v>40</v>
      </c>
      <c r="D6" s="3">
        <f>NORTH!D5</f>
        <v>32</v>
      </c>
      <c r="E6" s="3">
        <f>NORTH!E5</f>
        <v>37</v>
      </c>
    </row>
    <row r="8" spans="1:10" x14ac:dyDescent="0.3">
      <c r="A8" s="12" t="s">
        <v>27</v>
      </c>
      <c r="B8" s="12"/>
      <c r="C8" s="12"/>
      <c r="D8" s="12"/>
      <c r="E8" s="12"/>
    </row>
    <row r="9" spans="1:10" x14ac:dyDescent="0.3">
      <c r="A9" s="3" t="s">
        <v>0</v>
      </c>
      <c r="B9" s="3" t="s">
        <v>21</v>
      </c>
      <c r="C9" s="3" t="s">
        <v>22</v>
      </c>
      <c r="D9" s="3" t="s">
        <v>23</v>
      </c>
      <c r="E9" s="3" t="s">
        <v>24</v>
      </c>
    </row>
    <row r="10" spans="1:10" x14ac:dyDescent="0.3">
      <c r="A10" s="3" t="s">
        <v>4</v>
      </c>
      <c r="B10" s="3">
        <f>EAST!B3</f>
        <v>95</v>
      </c>
      <c r="C10" s="3">
        <f>EAST!C3</f>
        <v>26</v>
      </c>
      <c r="D10" s="3">
        <f>EAST!D3</f>
        <v>78</v>
      </c>
      <c r="E10" s="3">
        <f>EAST!E3</f>
        <v>13</v>
      </c>
    </row>
    <row r="11" spans="1:10" x14ac:dyDescent="0.3">
      <c r="A11" s="3" t="s">
        <v>5</v>
      </c>
      <c r="B11" s="3">
        <f>EAST!B4</f>
        <v>49</v>
      </c>
      <c r="C11" s="3">
        <f>EAST!C4</f>
        <v>81</v>
      </c>
      <c r="D11" s="3">
        <f>EAST!D4</f>
        <v>44</v>
      </c>
      <c r="E11" s="3">
        <f>EAST!E4</f>
        <v>97</v>
      </c>
    </row>
    <row r="12" spans="1:10" x14ac:dyDescent="0.3">
      <c r="A12" s="3" t="s">
        <v>6</v>
      </c>
      <c r="B12" s="3">
        <f>EAST!B5</f>
        <v>51</v>
      </c>
      <c r="C12" s="3">
        <f>EAST!C5</f>
        <v>45</v>
      </c>
      <c r="D12" s="3">
        <f>EAST!D5</f>
        <v>79</v>
      </c>
      <c r="E12" s="3">
        <f>EAST!E5</f>
        <v>80</v>
      </c>
    </row>
    <row r="14" spans="1:10" x14ac:dyDescent="0.3">
      <c r="A14" s="12" t="s">
        <v>28</v>
      </c>
      <c r="B14" s="12"/>
      <c r="C14" s="12"/>
      <c r="D14" s="12"/>
      <c r="E14" s="12"/>
    </row>
    <row r="15" spans="1:10" x14ac:dyDescent="0.3">
      <c r="A15" s="3" t="s">
        <v>0</v>
      </c>
      <c r="B15" s="3" t="s">
        <v>21</v>
      </c>
      <c r="C15" s="3" t="s">
        <v>22</v>
      </c>
      <c r="D15" s="3" t="s">
        <v>23</v>
      </c>
      <c r="E15" s="3" t="s">
        <v>24</v>
      </c>
    </row>
    <row r="16" spans="1:10" x14ac:dyDescent="0.3">
      <c r="A16" s="3" t="s">
        <v>4</v>
      </c>
      <c r="B16" s="3">
        <f>SOUTH!B3</f>
        <v>53</v>
      </c>
      <c r="C16" s="3">
        <f>SOUTH!C3</f>
        <v>40</v>
      </c>
      <c r="D16" s="3">
        <f>SOUTH!D3</f>
        <v>71</v>
      </c>
      <c r="E16" s="3">
        <f>SOUTH!E3</f>
        <v>26</v>
      </c>
    </row>
    <row r="17" spans="1:5" x14ac:dyDescent="0.3">
      <c r="A17" s="3" t="s">
        <v>5</v>
      </c>
      <c r="B17" s="3">
        <f>SOUTH!B4</f>
        <v>13</v>
      </c>
      <c r="C17" s="3">
        <f>SOUTH!C4</f>
        <v>68</v>
      </c>
      <c r="D17" s="3">
        <f>SOUTH!D4</f>
        <v>75</v>
      </c>
      <c r="E17" s="3">
        <f>SOUTH!E4</f>
        <v>62</v>
      </c>
    </row>
    <row r="18" spans="1:5" x14ac:dyDescent="0.3">
      <c r="A18" s="3" t="s">
        <v>6</v>
      </c>
      <c r="B18" s="3">
        <f>SOUTH!B5</f>
        <v>51</v>
      </c>
      <c r="C18" s="3">
        <f>SOUTH!C5</f>
        <v>57</v>
      </c>
      <c r="D18" s="3">
        <f>SOUTH!D5</f>
        <v>30</v>
      </c>
      <c r="E18" s="3">
        <f>SOUTH!E5</f>
        <v>40</v>
      </c>
    </row>
    <row r="20" spans="1:5" x14ac:dyDescent="0.3">
      <c r="A20" s="12" t="s">
        <v>29</v>
      </c>
      <c r="B20" s="12"/>
      <c r="C20" s="12"/>
      <c r="D20" s="12"/>
      <c r="E20" s="12"/>
    </row>
    <row r="21" spans="1:5" x14ac:dyDescent="0.3">
      <c r="A21" s="3" t="s">
        <v>0</v>
      </c>
      <c r="B21" s="3" t="s">
        <v>21</v>
      </c>
      <c r="C21" s="3" t="s">
        <v>22</v>
      </c>
      <c r="D21" s="3" t="s">
        <v>23</v>
      </c>
      <c r="E21" s="3" t="s">
        <v>24</v>
      </c>
    </row>
    <row r="22" spans="1:5" x14ac:dyDescent="0.3">
      <c r="A22" s="3" t="s">
        <v>4</v>
      </c>
      <c r="B22" s="3">
        <f>WEST!B3</f>
        <v>55</v>
      </c>
      <c r="C22" s="3">
        <f>WEST!C3</f>
        <v>40</v>
      </c>
      <c r="D22" s="3">
        <f>WEST!D3</f>
        <v>51</v>
      </c>
      <c r="E22" s="3">
        <f>WEST!E3</f>
        <v>21</v>
      </c>
    </row>
    <row r="23" spans="1:5" x14ac:dyDescent="0.3">
      <c r="A23" s="3" t="s">
        <v>5</v>
      </c>
      <c r="B23" s="3">
        <f>WEST!B4</f>
        <v>47</v>
      </c>
      <c r="C23" s="3">
        <f>WEST!C4</f>
        <v>62</v>
      </c>
      <c r="D23" s="3">
        <f>WEST!D4</f>
        <v>42</v>
      </c>
      <c r="E23" s="3">
        <f>WEST!E4</f>
        <v>43</v>
      </c>
    </row>
    <row r="24" spans="1:5" x14ac:dyDescent="0.3">
      <c r="A24" s="3" t="s">
        <v>6</v>
      </c>
      <c r="B24" s="3">
        <f>WEST!B5</f>
        <v>72</v>
      </c>
      <c r="C24" s="3">
        <f>WEST!C5</f>
        <v>81</v>
      </c>
      <c r="D24" s="3">
        <f>WEST!D5</f>
        <v>87</v>
      </c>
      <c r="E24" s="3">
        <f>WEST!E5</f>
        <v>62</v>
      </c>
    </row>
  </sheetData>
  <mergeCells count="6">
    <mergeCell ref="A20:E20"/>
    <mergeCell ref="F1:J1"/>
    <mergeCell ref="A1:E1"/>
    <mergeCell ref="A2:E2"/>
    <mergeCell ref="A8:E8"/>
    <mergeCell ref="A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C8CE-381E-4EF3-889C-7E1D4A78CCB7}">
  <dimension ref="A1:E5"/>
  <sheetViews>
    <sheetView workbookViewId="0">
      <selection activeCell="A2" sqref="A2"/>
    </sheetView>
  </sheetViews>
  <sheetFormatPr defaultRowHeight="14.4" x14ac:dyDescent="0.3"/>
  <cols>
    <col min="1" max="1" width="12.44140625" bestFit="1" customWidth="1"/>
    <col min="2" max="2" width="8.88671875" customWidth="1"/>
    <col min="3" max="3" width="8.6640625" customWidth="1"/>
    <col min="4" max="4" width="8.88671875" customWidth="1"/>
    <col min="5" max="5" width="10.5546875" customWidth="1"/>
  </cols>
  <sheetData>
    <row r="1" spans="1:5" x14ac:dyDescent="0.3">
      <c r="A1" s="13" t="s">
        <v>25</v>
      </c>
      <c r="B1" s="13"/>
      <c r="C1" s="13"/>
      <c r="D1" s="13"/>
      <c r="E1" s="13"/>
    </row>
    <row r="2" spans="1:5" x14ac:dyDescent="0.3">
      <c r="A2" s="1" t="s">
        <v>0</v>
      </c>
      <c r="B2" s="1" t="s">
        <v>21</v>
      </c>
      <c r="C2" s="1" t="s">
        <v>22</v>
      </c>
      <c r="D2" s="1" t="s">
        <v>23</v>
      </c>
      <c r="E2" s="1" t="s">
        <v>24</v>
      </c>
    </row>
    <row r="3" spans="1:5" x14ac:dyDescent="0.3">
      <c r="A3" s="1" t="s">
        <v>4</v>
      </c>
      <c r="B3" s="1">
        <v>95</v>
      </c>
      <c r="C3" s="1">
        <v>26</v>
      </c>
      <c r="D3" s="1">
        <v>78</v>
      </c>
      <c r="E3" s="1">
        <v>13</v>
      </c>
    </row>
    <row r="4" spans="1:5" x14ac:dyDescent="0.3">
      <c r="A4" s="1" t="s">
        <v>5</v>
      </c>
      <c r="B4" s="1">
        <v>49</v>
      </c>
      <c r="C4" s="1">
        <v>81</v>
      </c>
      <c r="D4" s="1">
        <v>44</v>
      </c>
      <c r="E4" s="1">
        <v>97</v>
      </c>
    </row>
    <row r="5" spans="1:5" x14ac:dyDescent="0.3">
      <c r="A5" s="1" t="s">
        <v>6</v>
      </c>
      <c r="B5" s="1">
        <v>51</v>
      </c>
      <c r="C5" s="1">
        <v>45</v>
      </c>
      <c r="D5" s="1">
        <v>79</v>
      </c>
      <c r="E5" s="1">
        <v>80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4A70-0379-4FF0-855A-8AEA8E7B7876}">
  <dimension ref="A1:E5"/>
  <sheetViews>
    <sheetView workbookViewId="0">
      <selection activeCell="A2" sqref="A2"/>
    </sheetView>
  </sheetViews>
  <sheetFormatPr defaultRowHeight="14.4" x14ac:dyDescent="0.3"/>
  <cols>
    <col min="1" max="1" width="12.44140625" bestFit="1" customWidth="1"/>
  </cols>
  <sheetData>
    <row r="1" spans="1:5" x14ac:dyDescent="0.3">
      <c r="A1" s="13" t="s">
        <v>25</v>
      </c>
      <c r="B1" s="13"/>
      <c r="C1" s="13"/>
      <c r="D1" s="13"/>
      <c r="E1" s="13"/>
    </row>
    <row r="2" spans="1:5" x14ac:dyDescent="0.3">
      <c r="A2" s="6" t="s">
        <v>0</v>
      </c>
      <c r="B2" s="6" t="s">
        <v>21</v>
      </c>
      <c r="C2" s="6" t="s">
        <v>22</v>
      </c>
      <c r="D2" s="6" t="s">
        <v>23</v>
      </c>
      <c r="E2" s="6" t="s">
        <v>24</v>
      </c>
    </row>
    <row r="3" spans="1:5" x14ac:dyDescent="0.3">
      <c r="A3" s="6" t="s">
        <v>4</v>
      </c>
      <c r="B3" s="6">
        <v>53</v>
      </c>
      <c r="C3" s="6">
        <v>40</v>
      </c>
      <c r="D3" s="6">
        <v>71</v>
      </c>
      <c r="E3" s="6">
        <v>26</v>
      </c>
    </row>
    <row r="4" spans="1:5" x14ac:dyDescent="0.3">
      <c r="A4" s="6" t="s">
        <v>5</v>
      </c>
      <c r="B4" s="6">
        <v>13</v>
      </c>
      <c r="C4" s="6">
        <v>68</v>
      </c>
      <c r="D4" s="6">
        <v>75</v>
      </c>
      <c r="E4" s="6">
        <v>62</v>
      </c>
    </row>
    <row r="5" spans="1:5" x14ac:dyDescent="0.3">
      <c r="A5" s="6" t="s">
        <v>6</v>
      </c>
      <c r="B5" s="6">
        <v>51</v>
      </c>
      <c r="C5" s="6">
        <v>57</v>
      </c>
      <c r="D5" s="6">
        <v>30</v>
      </c>
      <c r="E5" s="6">
        <v>40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F002-77A0-499F-B734-CDF7B958D53C}">
  <dimension ref="A1:E5"/>
  <sheetViews>
    <sheetView workbookViewId="0">
      <selection activeCell="A2" sqref="A2"/>
    </sheetView>
  </sheetViews>
  <sheetFormatPr defaultRowHeight="14.4" x14ac:dyDescent="0.3"/>
  <cols>
    <col min="1" max="1" width="11.109375" bestFit="1" customWidth="1"/>
  </cols>
  <sheetData>
    <row r="1" spans="1:5" x14ac:dyDescent="0.3">
      <c r="A1" s="15" t="s">
        <v>25</v>
      </c>
      <c r="B1" s="15"/>
      <c r="C1" s="15"/>
      <c r="D1" s="15"/>
      <c r="E1" s="15"/>
    </row>
    <row r="2" spans="1:5" x14ac:dyDescent="0.3">
      <c r="A2" s="2" t="s">
        <v>0</v>
      </c>
      <c r="B2" s="2" t="s">
        <v>21</v>
      </c>
      <c r="C2" s="2" t="s">
        <v>22</v>
      </c>
      <c r="D2" s="2" t="s">
        <v>23</v>
      </c>
      <c r="E2" s="2" t="s">
        <v>24</v>
      </c>
    </row>
    <row r="3" spans="1:5" x14ac:dyDescent="0.3">
      <c r="A3" s="2" t="s">
        <v>4</v>
      </c>
      <c r="B3" s="2">
        <v>55</v>
      </c>
      <c r="C3" s="2">
        <v>40</v>
      </c>
      <c r="D3" s="2">
        <v>51</v>
      </c>
      <c r="E3" s="2">
        <v>21</v>
      </c>
    </row>
    <row r="4" spans="1:5" x14ac:dyDescent="0.3">
      <c r="A4" s="2" t="s">
        <v>5</v>
      </c>
      <c r="B4" s="2">
        <v>47</v>
      </c>
      <c r="C4" s="2">
        <v>62</v>
      </c>
      <c r="D4" s="2">
        <v>42</v>
      </c>
      <c r="E4" s="2">
        <v>43</v>
      </c>
    </row>
    <row r="5" spans="1:5" x14ac:dyDescent="0.3">
      <c r="A5" s="2" t="s">
        <v>6</v>
      </c>
      <c r="B5" s="2">
        <v>72</v>
      </c>
      <c r="C5" s="2">
        <v>81</v>
      </c>
      <c r="D5" s="2">
        <v>87</v>
      </c>
      <c r="E5" s="2">
        <v>62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18A4-19A3-4DF0-B29D-7C7F31F9ED4C}">
  <dimension ref="A1:E5"/>
  <sheetViews>
    <sheetView workbookViewId="0">
      <selection activeCell="A2" sqref="A2"/>
    </sheetView>
  </sheetViews>
  <sheetFormatPr defaultRowHeight="14.4" x14ac:dyDescent="0.3"/>
  <cols>
    <col min="1" max="1" width="11.109375" bestFit="1" customWidth="1"/>
  </cols>
  <sheetData>
    <row r="1" spans="1:5" x14ac:dyDescent="0.3">
      <c r="A1" s="13" t="s">
        <v>25</v>
      </c>
      <c r="B1" s="13"/>
      <c r="C1" s="13"/>
      <c r="D1" s="13"/>
      <c r="E1" s="13"/>
    </row>
    <row r="2" spans="1:5" x14ac:dyDescent="0.3">
      <c r="A2" s="1" t="s">
        <v>0</v>
      </c>
      <c r="B2" s="1" t="s">
        <v>21</v>
      </c>
      <c r="C2" s="1" t="s">
        <v>22</v>
      </c>
      <c r="D2" s="1" t="s">
        <v>23</v>
      </c>
      <c r="E2" s="1" t="s">
        <v>24</v>
      </c>
    </row>
    <row r="3" spans="1:5" x14ac:dyDescent="0.3">
      <c r="A3" s="1" t="s">
        <v>4</v>
      </c>
      <c r="B3" s="1">
        <v>44</v>
      </c>
      <c r="C3" s="1">
        <v>37</v>
      </c>
      <c r="D3" s="1">
        <v>35</v>
      </c>
      <c r="E3" s="1">
        <v>37</v>
      </c>
    </row>
    <row r="4" spans="1:5" x14ac:dyDescent="0.3">
      <c r="A4" s="1" t="s">
        <v>5</v>
      </c>
      <c r="B4" s="1">
        <v>8</v>
      </c>
      <c r="C4" s="1">
        <v>17</v>
      </c>
      <c r="D4" s="1">
        <v>24</v>
      </c>
      <c r="E4" s="1">
        <v>55</v>
      </c>
    </row>
    <row r="5" spans="1:5" x14ac:dyDescent="0.3">
      <c r="A5" s="1" t="s">
        <v>6</v>
      </c>
      <c r="B5" s="1">
        <v>45</v>
      </c>
      <c r="C5" s="1">
        <v>40</v>
      </c>
      <c r="D5" s="1">
        <v>32</v>
      </c>
      <c r="E5" s="1">
        <v>37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7B1E-334A-4297-AA26-444017EB1E37}">
  <dimension ref="A1:E7"/>
  <sheetViews>
    <sheetView workbookViewId="0">
      <selection activeCell="J29" sqref="J29"/>
    </sheetView>
  </sheetViews>
  <sheetFormatPr defaultRowHeight="14.4" x14ac:dyDescent="0.3"/>
  <cols>
    <col min="1" max="1" width="9.5546875" bestFit="1" customWidth="1"/>
    <col min="2" max="2" width="9.5546875" customWidth="1"/>
    <col min="3" max="3" width="8.6640625" customWidth="1"/>
    <col min="4" max="4" width="9.44140625" customWidth="1"/>
    <col min="5" max="5" width="10.5546875" customWidth="1"/>
  </cols>
  <sheetData>
    <row r="1" spans="1:5" x14ac:dyDescent="0.3">
      <c r="A1" s="15" t="s">
        <v>41</v>
      </c>
      <c r="B1" s="15"/>
      <c r="C1" s="15"/>
      <c r="D1" s="15"/>
      <c r="E1" s="15"/>
    </row>
    <row r="2" spans="1:5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</row>
    <row r="3" spans="1:5" x14ac:dyDescent="0.3">
      <c r="A3" t="s">
        <v>36</v>
      </c>
      <c r="B3">
        <v>5600</v>
      </c>
      <c r="C3">
        <v>4500</v>
      </c>
      <c r="D3">
        <v>6540</v>
      </c>
      <c r="E3">
        <f>SUM(B3,C3,D3)</f>
        <v>16640</v>
      </c>
    </row>
    <row r="4" spans="1:5" x14ac:dyDescent="0.3">
      <c r="A4" t="s">
        <v>37</v>
      </c>
      <c r="B4">
        <v>8500</v>
      </c>
      <c r="C4">
        <v>6650</v>
      </c>
      <c r="D4">
        <v>6554</v>
      </c>
      <c r="E4">
        <f t="shared" ref="E4:E7" si="0">SUM(B4,C4,D4)</f>
        <v>21704</v>
      </c>
    </row>
    <row r="5" spans="1:5" x14ac:dyDescent="0.3">
      <c r="A5" t="s">
        <v>38</v>
      </c>
      <c r="B5">
        <v>9500</v>
      </c>
      <c r="C5">
        <v>4556</v>
      </c>
      <c r="D5">
        <v>12000</v>
      </c>
      <c r="E5">
        <f t="shared" si="0"/>
        <v>26056</v>
      </c>
    </row>
    <row r="6" spans="1:5" x14ac:dyDescent="0.3">
      <c r="A6" t="s">
        <v>39</v>
      </c>
      <c r="B6">
        <v>6900</v>
      </c>
      <c r="C6">
        <v>6850</v>
      </c>
      <c r="D6">
        <v>1200</v>
      </c>
      <c r="E6">
        <f t="shared" si="0"/>
        <v>14950</v>
      </c>
    </row>
    <row r="7" spans="1:5" x14ac:dyDescent="0.3">
      <c r="A7" t="s">
        <v>40</v>
      </c>
      <c r="B7">
        <v>4500</v>
      </c>
      <c r="C7">
        <v>4585</v>
      </c>
      <c r="D7">
        <v>8020</v>
      </c>
      <c r="E7">
        <f t="shared" si="0"/>
        <v>17105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2D75-2735-4EBD-8D77-6001B27C9305}">
  <dimension ref="A1:D7"/>
  <sheetViews>
    <sheetView workbookViewId="0">
      <selection activeCell="D4" sqref="D4:D6"/>
    </sheetView>
  </sheetViews>
  <sheetFormatPr defaultRowHeight="14.4" x14ac:dyDescent="0.3"/>
  <cols>
    <col min="4" max="4" width="10.21875" bestFit="1" customWidth="1"/>
  </cols>
  <sheetData>
    <row r="1" spans="1:4" x14ac:dyDescent="0.3">
      <c r="A1" s="13" t="s">
        <v>48</v>
      </c>
      <c r="B1" s="13"/>
      <c r="C1" s="13"/>
      <c r="D1" s="13"/>
    </row>
    <row r="2" spans="1:4" x14ac:dyDescent="0.3">
      <c r="A2" s="1"/>
      <c r="B2" s="1"/>
      <c r="C2" s="1"/>
      <c r="D2" s="4">
        <v>0.18</v>
      </c>
    </row>
    <row r="3" spans="1:4" x14ac:dyDescent="0.3">
      <c r="A3" s="1" t="s">
        <v>42</v>
      </c>
      <c r="B3" s="1" t="s">
        <v>43</v>
      </c>
      <c r="C3" s="1" t="s">
        <v>2</v>
      </c>
      <c r="D3" s="1" t="s">
        <v>44</v>
      </c>
    </row>
    <row r="4" spans="1:4" x14ac:dyDescent="0.3">
      <c r="A4" s="1" t="s">
        <v>45</v>
      </c>
      <c r="B4" s="1">
        <v>12</v>
      </c>
      <c r="C4" s="1">
        <v>450</v>
      </c>
      <c r="D4" s="1">
        <f>(B4*C4)*$D$2</f>
        <v>972</v>
      </c>
    </row>
    <row r="5" spans="1:4" x14ac:dyDescent="0.3">
      <c r="A5" s="1" t="s">
        <v>46</v>
      </c>
      <c r="B5" s="1">
        <v>8</v>
      </c>
      <c r="C5" s="1">
        <v>340</v>
      </c>
      <c r="D5" s="1">
        <f t="shared" ref="D5:D7" si="0">(B5*C5)*$D$2</f>
        <v>489.59999999999997</v>
      </c>
    </row>
    <row r="6" spans="1:4" x14ac:dyDescent="0.3">
      <c r="A6" s="1" t="s">
        <v>47</v>
      </c>
      <c r="B6" s="1">
        <v>15</v>
      </c>
      <c r="C6" s="1">
        <v>280</v>
      </c>
      <c r="D6" s="1">
        <f t="shared" si="0"/>
        <v>756</v>
      </c>
    </row>
    <row r="7" spans="1:4" x14ac:dyDescent="0.3">
      <c r="D7" s="1"/>
    </row>
  </sheetData>
  <mergeCells count="1">
    <mergeCell ref="A1:D1"/>
  </mergeCells>
  <hyperlinks>
    <hyperlink ref="D3" r:id="rId1" xr:uid="{AAA2280A-1CD2-4E18-887B-15037CCA103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DDF1-4579-4F6E-96A5-873BC0FE2B65}">
  <dimension ref="A1:D7"/>
  <sheetViews>
    <sheetView topLeftCell="A4" workbookViewId="0">
      <selection activeCell="B4" sqref="B4:D7"/>
    </sheetView>
  </sheetViews>
  <sheetFormatPr defaultRowHeight="14.4" x14ac:dyDescent="0.3"/>
  <cols>
    <col min="1" max="1" width="9.109375" bestFit="1" customWidth="1"/>
    <col min="2" max="2" width="11.21875" bestFit="1" customWidth="1"/>
    <col min="3" max="3" width="10.109375" bestFit="1" customWidth="1"/>
    <col min="4" max="4" width="7.21875" bestFit="1" customWidth="1"/>
  </cols>
  <sheetData>
    <row r="1" spans="1:4" x14ac:dyDescent="0.3">
      <c r="A1" s="15" t="s">
        <v>58</v>
      </c>
      <c r="B1" s="15"/>
      <c r="C1" s="15"/>
      <c r="D1" s="15"/>
    </row>
    <row r="2" spans="1:4" x14ac:dyDescent="0.3">
      <c r="A2" s="2" t="s">
        <v>50</v>
      </c>
      <c r="B2" s="2" t="s">
        <v>54</v>
      </c>
      <c r="C2" s="2" t="s">
        <v>55</v>
      </c>
      <c r="D2" s="2" t="s">
        <v>56</v>
      </c>
    </row>
    <row r="3" spans="1:4" x14ac:dyDescent="0.3">
      <c r="A3" s="2" t="s">
        <v>57</v>
      </c>
      <c r="B3" s="7">
        <v>0.7</v>
      </c>
      <c r="C3" s="7">
        <v>0.6</v>
      </c>
      <c r="D3" s="7">
        <v>0.75</v>
      </c>
    </row>
    <row r="4" spans="1:4" x14ac:dyDescent="0.3">
      <c r="A4" s="2">
        <v>20000</v>
      </c>
      <c r="B4" s="2">
        <f>$A4*B$3</f>
        <v>14000</v>
      </c>
      <c r="C4" s="2">
        <f t="shared" ref="C4:D7" si="0">$A4*C$3</f>
        <v>12000</v>
      </c>
      <c r="D4" s="2">
        <f t="shared" si="0"/>
        <v>15000</v>
      </c>
    </row>
    <row r="5" spans="1:4" x14ac:dyDescent="0.3">
      <c r="A5" s="2">
        <v>30000</v>
      </c>
      <c r="B5" s="2">
        <f t="shared" ref="B5:B7" si="1">$A5*B$3</f>
        <v>21000</v>
      </c>
      <c r="C5" s="2">
        <f t="shared" si="0"/>
        <v>18000</v>
      </c>
      <c r="D5" s="2">
        <f t="shared" si="0"/>
        <v>22500</v>
      </c>
    </row>
    <row r="6" spans="1:4" x14ac:dyDescent="0.3">
      <c r="A6" s="2">
        <v>15000</v>
      </c>
      <c r="B6" s="2">
        <f t="shared" si="1"/>
        <v>10500</v>
      </c>
      <c r="C6" s="2">
        <f t="shared" si="0"/>
        <v>9000</v>
      </c>
      <c r="D6" s="2">
        <f t="shared" si="0"/>
        <v>11250</v>
      </c>
    </row>
    <row r="7" spans="1:4" x14ac:dyDescent="0.3">
      <c r="A7" s="2">
        <v>25000</v>
      </c>
      <c r="B7" s="2">
        <f t="shared" si="1"/>
        <v>17500</v>
      </c>
      <c r="C7" s="2">
        <f t="shared" si="0"/>
        <v>15000</v>
      </c>
      <c r="D7" s="2">
        <f t="shared" si="0"/>
        <v>18750</v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8640-5980-4919-B66C-842E56DC7469}">
  <dimension ref="A1:D8"/>
  <sheetViews>
    <sheetView workbookViewId="0">
      <selection activeCell="B5" sqref="B5:D8"/>
    </sheetView>
  </sheetViews>
  <sheetFormatPr defaultRowHeight="14.4" x14ac:dyDescent="0.3"/>
  <sheetData>
    <row r="1" spans="1:4" x14ac:dyDescent="0.3">
      <c r="A1" s="15" t="s">
        <v>59</v>
      </c>
      <c r="B1" s="15"/>
      <c r="C1" s="15"/>
      <c r="D1" s="15"/>
    </row>
    <row r="2" spans="1:4" x14ac:dyDescent="0.3">
      <c r="A2" s="15" t="s">
        <v>49</v>
      </c>
      <c r="B2" s="15"/>
      <c r="C2" s="15"/>
      <c r="D2" s="15"/>
    </row>
    <row r="3" spans="1:4" x14ac:dyDescent="0.3">
      <c r="A3" s="2"/>
      <c r="B3" s="7">
        <v>0.25</v>
      </c>
      <c r="C3" s="7">
        <v>0.3</v>
      </c>
      <c r="D3" s="7">
        <v>0.35</v>
      </c>
    </row>
    <row r="4" spans="1:4" x14ac:dyDescent="0.3">
      <c r="A4" s="2" t="s">
        <v>50</v>
      </c>
      <c r="B4" s="2" t="s">
        <v>51</v>
      </c>
      <c r="C4" s="2" t="s">
        <v>52</v>
      </c>
      <c r="D4" s="2" t="s">
        <v>53</v>
      </c>
    </row>
    <row r="5" spans="1:4" x14ac:dyDescent="0.3">
      <c r="A5" s="2">
        <v>5000</v>
      </c>
      <c r="B5" s="2">
        <f>$A5*B$3</f>
        <v>1250</v>
      </c>
      <c r="C5" s="2">
        <f t="shared" ref="C5:D8" si="0">$A5*C$3</f>
        <v>1500</v>
      </c>
      <c r="D5" s="2">
        <f t="shared" si="0"/>
        <v>1750</v>
      </c>
    </row>
    <row r="6" spans="1:4" x14ac:dyDescent="0.3">
      <c r="A6" s="2">
        <v>10000</v>
      </c>
      <c r="B6" s="2">
        <f t="shared" ref="B6:B8" si="1">$A6*B$3</f>
        <v>2500</v>
      </c>
      <c r="C6" s="2">
        <f t="shared" si="0"/>
        <v>3000</v>
      </c>
      <c r="D6" s="2">
        <f t="shared" si="0"/>
        <v>3500</v>
      </c>
    </row>
    <row r="7" spans="1:4" x14ac:dyDescent="0.3">
      <c r="A7" s="2">
        <v>15000</v>
      </c>
      <c r="B7" s="2">
        <f t="shared" si="1"/>
        <v>3750</v>
      </c>
      <c r="C7" s="2">
        <f t="shared" si="0"/>
        <v>4500</v>
      </c>
      <c r="D7" s="2">
        <f t="shared" si="0"/>
        <v>5250</v>
      </c>
    </row>
    <row r="8" spans="1:4" x14ac:dyDescent="0.3">
      <c r="A8" s="2">
        <v>20000</v>
      </c>
      <c r="B8" s="2">
        <f t="shared" si="1"/>
        <v>5000</v>
      </c>
      <c r="C8" s="2">
        <f t="shared" si="0"/>
        <v>6000</v>
      </c>
      <c r="D8" s="2">
        <f t="shared" si="0"/>
        <v>7000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6F73-340E-4AE3-9039-A79F0FB5D2B8}">
  <dimension ref="A1:E8"/>
  <sheetViews>
    <sheetView workbookViewId="0">
      <selection activeCell="A2" sqref="A2"/>
    </sheetView>
  </sheetViews>
  <sheetFormatPr defaultRowHeight="14.4" x14ac:dyDescent="0.3"/>
  <cols>
    <col min="2" max="2" width="11.77734375" bestFit="1" customWidth="1"/>
  </cols>
  <sheetData>
    <row r="1" spans="1:5" x14ac:dyDescent="0.3">
      <c r="A1" s="13" t="s">
        <v>61</v>
      </c>
      <c r="B1" s="13"/>
      <c r="C1" s="13"/>
      <c r="D1" s="13"/>
      <c r="E1" s="13"/>
    </row>
    <row r="2" spans="1:5" x14ac:dyDescent="0.3">
      <c r="A2" s="1" t="s">
        <v>2</v>
      </c>
      <c r="B2" s="1" t="s">
        <v>60</v>
      </c>
      <c r="C2" s="1"/>
      <c r="D2" s="1"/>
      <c r="E2" s="1"/>
    </row>
    <row r="3" spans="1:5" x14ac:dyDescent="0.3">
      <c r="A3" s="1"/>
      <c r="B3" s="1">
        <v>10000</v>
      </c>
      <c r="C3" s="1">
        <v>20000</v>
      </c>
      <c r="D3" s="1">
        <v>30000</v>
      </c>
      <c r="E3" s="1">
        <v>40000</v>
      </c>
    </row>
    <row r="4" spans="1:5" x14ac:dyDescent="0.3">
      <c r="A4" s="4">
        <v>0.05</v>
      </c>
      <c r="B4" s="1"/>
      <c r="C4" s="1"/>
      <c r="D4" s="1"/>
      <c r="E4" s="1"/>
    </row>
    <row r="5" spans="1:5" x14ac:dyDescent="0.3">
      <c r="A5" s="4">
        <v>5.5E-2</v>
      </c>
      <c r="B5" s="1"/>
      <c r="C5" s="1"/>
      <c r="D5" s="1"/>
      <c r="E5" s="1"/>
    </row>
    <row r="6" spans="1:5" x14ac:dyDescent="0.3">
      <c r="A6" s="4">
        <v>0.06</v>
      </c>
      <c r="B6" s="1"/>
      <c r="C6" s="1"/>
      <c r="D6" s="1"/>
      <c r="E6" s="1"/>
    </row>
    <row r="7" spans="1:5" x14ac:dyDescent="0.3">
      <c r="A7" s="4">
        <v>6.5000000000000002E-2</v>
      </c>
      <c r="B7" s="1"/>
      <c r="C7" s="1"/>
      <c r="D7" s="1"/>
      <c r="E7" s="1"/>
    </row>
    <row r="8" spans="1:5" x14ac:dyDescent="0.3">
      <c r="A8" s="4">
        <v>7.0000000000000007E-2</v>
      </c>
      <c r="B8" s="1"/>
      <c r="C8" s="1"/>
      <c r="D8" s="1"/>
      <c r="E8" s="1"/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2561-EA83-4117-AA30-9449104B7A19}">
  <dimension ref="A1:G7"/>
  <sheetViews>
    <sheetView workbookViewId="0">
      <selection activeCell="G4" sqref="G4:G7"/>
    </sheetView>
  </sheetViews>
  <sheetFormatPr defaultRowHeight="14.4" x14ac:dyDescent="0.3"/>
  <cols>
    <col min="2" max="2" width="11.109375" bestFit="1" customWidth="1"/>
  </cols>
  <sheetData>
    <row r="1" spans="1:7" x14ac:dyDescent="0.3">
      <c r="A1" s="15" t="s">
        <v>72</v>
      </c>
      <c r="B1" s="15"/>
      <c r="C1" s="15"/>
      <c r="D1" s="15"/>
      <c r="E1" s="15"/>
      <c r="F1" s="15"/>
    </row>
    <row r="2" spans="1:7" x14ac:dyDescent="0.3">
      <c r="A2" s="16" t="s">
        <v>62</v>
      </c>
      <c r="B2" s="16" t="s">
        <v>63</v>
      </c>
      <c r="C2" s="16" t="s">
        <v>64</v>
      </c>
      <c r="D2" s="8">
        <v>0.1</v>
      </c>
      <c r="E2" s="8">
        <v>7.0000000000000007E-2</v>
      </c>
      <c r="F2" s="8">
        <v>0.12</v>
      </c>
      <c r="G2" t="s">
        <v>91</v>
      </c>
    </row>
    <row r="3" spans="1:7" x14ac:dyDescent="0.3">
      <c r="A3" s="16"/>
      <c r="B3" s="16"/>
      <c r="C3" s="16"/>
      <c r="D3" s="3" t="s">
        <v>65</v>
      </c>
      <c r="E3" s="3" t="s">
        <v>66</v>
      </c>
      <c r="F3" s="3" t="s">
        <v>67</v>
      </c>
    </row>
    <row r="4" spans="1:7" x14ac:dyDescent="0.3">
      <c r="A4" s="3">
        <v>555</v>
      </c>
      <c r="B4" s="3" t="s">
        <v>68</v>
      </c>
      <c r="C4" s="3">
        <v>5400</v>
      </c>
      <c r="D4" s="3">
        <f>$C4*D$2</f>
        <v>540</v>
      </c>
      <c r="E4" s="3">
        <f t="shared" ref="E4:F7" si="0">$C4*E$2</f>
        <v>378.00000000000006</v>
      </c>
      <c r="F4" s="3">
        <f t="shared" si="0"/>
        <v>648</v>
      </c>
      <c r="G4">
        <f>SUM(C4,D4,E4,F4)</f>
        <v>6966</v>
      </c>
    </row>
    <row r="5" spans="1:7" x14ac:dyDescent="0.3">
      <c r="A5" s="3">
        <v>232</v>
      </c>
      <c r="B5" s="3" t="s">
        <v>69</v>
      </c>
      <c r="C5" s="3">
        <v>2500</v>
      </c>
      <c r="D5" s="3">
        <f t="shared" ref="D5:D7" si="1">$C5*D$2</f>
        <v>250</v>
      </c>
      <c r="E5" s="3">
        <f t="shared" si="0"/>
        <v>175.00000000000003</v>
      </c>
      <c r="F5" s="3">
        <f t="shared" si="0"/>
        <v>300</v>
      </c>
      <c r="G5">
        <f t="shared" ref="G5:G7" si="2">SUM(C5,D5,E5,F5)</f>
        <v>3225</v>
      </c>
    </row>
    <row r="6" spans="1:7" x14ac:dyDescent="0.3">
      <c r="A6" s="3">
        <v>845</v>
      </c>
      <c r="B6" s="3" t="s">
        <v>70</v>
      </c>
      <c r="C6" s="3">
        <v>4600</v>
      </c>
      <c r="D6" s="3">
        <f t="shared" si="1"/>
        <v>460</v>
      </c>
      <c r="E6" s="3">
        <f t="shared" si="0"/>
        <v>322.00000000000006</v>
      </c>
      <c r="F6" s="3">
        <f t="shared" si="0"/>
        <v>552</v>
      </c>
      <c r="G6">
        <f t="shared" si="2"/>
        <v>5934</v>
      </c>
    </row>
    <row r="7" spans="1:7" x14ac:dyDescent="0.3">
      <c r="A7" s="3">
        <v>888</v>
      </c>
      <c r="B7" s="3" t="s">
        <v>71</v>
      </c>
      <c r="C7" s="3">
        <v>3500</v>
      </c>
      <c r="D7" s="3">
        <f t="shared" si="1"/>
        <v>350</v>
      </c>
      <c r="E7" s="3">
        <f t="shared" si="0"/>
        <v>245.00000000000003</v>
      </c>
      <c r="F7" s="3">
        <f t="shared" si="0"/>
        <v>420</v>
      </c>
      <c r="G7">
        <f t="shared" si="2"/>
        <v>4515</v>
      </c>
    </row>
  </sheetData>
  <mergeCells count="4">
    <mergeCell ref="A2:A3"/>
    <mergeCell ref="B2:B3"/>
    <mergeCell ref="C2:C3"/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FF9A-A738-4BFD-9453-601AA8FAFED1}">
  <dimension ref="A1:I22"/>
  <sheetViews>
    <sheetView tabSelected="1" workbookViewId="0">
      <selection activeCell="B14" sqref="B14:G19"/>
    </sheetView>
  </sheetViews>
  <sheetFormatPr defaultRowHeight="14.4" x14ac:dyDescent="0.3"/>
  <cols>
    <col min="1" max="1" width="18.44140625" bestFit="1" customWidth="1"/>
    <col min="2" max="2" width="8.44140625" bestFit="1" customWidth="1"/>
    <col min="3" max="3" width="9.44140625" bestFit="1" customWidth="1"/>
    <col min="4" max="4" width="7.21875" bestFit="1" customWidth="1"/>
    <col min="5" max="7" width="5.77734375" bestFit="1" customWidth="1"/>
  </cols>
  <sheetData>
    <row r="1" spans="1:9" x14ac:dyDescent="0.3">
      <c r="A1" s="15" t="s">
        <v>89</v>
      </c>
      <c r="B1" s="15"/>
      <c r="C1" s="15"/>
      <c r="D1" s="15"/>
      <c r="E1" s="15"/>
      <c r="F1" s="15"/>
      <c r="G1" s="15"/>
    </row>
    <row r="2" spans="1:9" x14ac:dyDescent="0.3">
      <c r="A2" s="9" t="s">
        <v>73</v>
      </c>
      <c r="B2" s="10">
        <v>5.0000000000000001E-3</v>
      </c>
      <c r="C2" s="10">
        <v>7.4999999999999997E-3</v>
      </c>
      <c r="D2" s="11">
        <v>0.01</v>
      </c>
      <c r="E2" s="10">
        <v>1.2500000000000001E-2</v>
      </c>
      <c r="F2" s="10">
        <v>1.4999999999999999E-2</v>
      </c>
      <c r="G2" s="11">
        <v>0.02</v>
      </c>
    </row>
    <row r="3" spans="1:9" x14ac:dyDescent="0.3">
      <c r="A3" s="12" t="s">
        <v>74</v>
      </c>
      <c r="B3" s="12" t="s">
        <v>75</v>
      </c>
      <c r="C3" s="12"/>
      <c r="D3" s="12"/>
      <c r="E3" s="12"/>
      <c r="F3" s="12"/>
      <c r="G3" s="12"/>
    </row>
    <row r="4" spans="1:9" x14ac:dyDescent="0.3">
      <c r="A4" s="12"/>
      <c r="B4" s="1" t="s">
        <v>76</v>
      </c>
      <c r="C4" s="1" t="s">
        <v>77</v>
      </c>
      <c r="D4" s="1" t="s">
        <v>78</v>
      </c>
      <c r="E4" s="1" t="s">
        <v>79</v>
      </c>
      <c r="F4" s="1" t="s">
        <v>80</v>
      </c>
      <c r="G4" s="1" t="s">
        <v>81</v>
      </c>
    </row>
    <row r="5" spans="1:9" x14ac:dyDescent="0.3">
      <c r="A5" s="1" t="s">
        <v>82</v>
      </c>
      <c r="B5" s="1">
        <v>15000</v>
      </c>
      <c r="C5" s="1">
        <v>13000</v>
      </c>
      <c r="D5" s="1">
        <v>13000</v>
      </c>
      <c r="E5" s="1">
        <v>36000</v>
      </c>
      <c r="F5" s="1">
        <v>32000</v>
      </c>
      <c r="G5" s="1">
        <v>50000</v>
      </c>
    </row>
    <row r="6" spans="1:9" x14ac:dyDescent="0.3">
      <c r="A6" s="1" t="s">
        <v>83</v>
      </c>
      <c r="B6" s="1">
        <v>15500</v>
      </c>
      <c r="C6" s="1">
        <v>32000</v>
      </c>
      <c r="D6" s="1">
        <v>23000</v>
      </c>
      <c r="E6" s="1">
        <v>37000</v>
      </c>
      <c r="F6" s="1">
        <v>48000</v>
      </c>
      <c r="G6" s="1">
        <v>47000</v>
      </c>
    </row>
    <row r="7" spans="1:9" x14ac:dyDescent="0.3">
      <c r="A7" s="1" t="s">
        <v>84</v>
      </c>
      <c r="B7" s="1">
        <v>12000</v>
      </c>
      <c r="C7" s="1">
        <v>14000</v>
      </c>
      <c r="D7" s="1">
        <v>31000</v>
      </c>
      <c r="E7" s="1">
        <v>13000</v>
      </c>
      <c r="F7" s="1">
        <v>32000</v>
      </c>
      <c r="G7" s="1">
        <v>43000</v>
      </c>
    </row>
    <row r="8" spans="1:9" x14ac:dyDescent="0.3">
      <c r="A8" s="1" t="s">
        <v>85</v>
      </c>
      <c r="B8" s="1">
        <v>14000</v>
      </c>
      <c r="C8" s="1">
        <v>34000</v>
      </c>
      <c r="D8" s="1">
        <v>26000</v>
      </c>
      <c r="E8" s="1">
        <v>16000</v>
      </c>
      <c r="F8" s="1">
        <v>14000</v>
      </c>
      <c r="G8" s="1">
        <v>28000</v>
      </c>
    </row>
    <row r="9" spans="1:9" x14ac:dyDescent="0.3">
      <c r="A9" s="1" t="s">
        <v>86</v>
      </c>
      <c r="B9" s="1">
        <v>24000</v>
      </c>
      <c r="C9" s="1">
        <v>18000</v>
      </c>
      <c r="D9" s="1">
        <v>42000</v>
      </c>
      <c r="E9" s="1">
        <v>10000</v>
      </c>
      <c r="F9" s="1">
        <v>7000</v>
      </c>
      <c r="G9" s="1">
        <v>29000</v>
      </c>
    </row>
    <row r="10" spans="1:9" x14ac:dyDescent="0.3">
      <c r="A10" s="1" t="s">
        <v>87</v>
      </c>
      <c r="B10" s="1">
        <v>32000</v>
      </c>
      <c r="C10" s="1">
        <v>19000</v>
      </c>
      <c r="D10" s="1">
        <v>16000</v>
      </c>
      <c r="E10" s="1">
        <v>16000</v>
      </c>
      <c r="F10" s="1">
        <v>92000</v>
      </c>
      <c r="G10" s="1">
        <v>54000</v>
      </c>
    </row>
    <row r="12" spans="1:9" x14ac:dyDescent="0.3">
      <c r="A12" s="12" t="s">
        <v>74</v>
      </c>
      <c r="B12" s="3"/>
      <c r="C12" s="3"/>
      <c r="D12" s="3"/>
      <c r="E12" s="3"/>
      <c r="F12" s="3"/>
      <c r="G12" s="3"/>
      <c r="I12" t="s">
        <v>92</v>
      </c>
    </row>
    <row r="13" spans="1:9" x14ac:dyDescent="0.3">
      <c r="A13" s="12"/>
      <c r="B13" s="3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81</v>
      </c>
    </row>
    <row r="14" spans="1:9" x14ac:dyDescent="0.3">
      <c r="A14" s="3" t="s">
        <v>82</v>
      </c>
      <c r="B14" s="3">
        <f>B5*B$2</f>
        <v>75</v>
      </c>
      <c r="C14" s="3">
        <f t="shared" ref="C14:G14" si="0">C5*C$2</f>
        <v>97.5</v>
      </c>
      <c r="D14" s="3">
        <f t="shared" si="0"/>
        <v>130</v>
      </c>
      <c r="E14" s="3">
        <f t="shared" si="0"/>
        <v>450</v>
      </c>
      <c r="F14" s="3">
        <f t="shared" si="0"/>
        <v>480</v>
      </c>
      <c r="G14" s="3">
        <f t="shared" si="0"/>
        <v>1000</v>
      </c>
    </row>
    <row r="15" spans="1:9" x14ac:dyDescent="0.3">
      <c r="A15" s="3" t="s">
        <v>83</v>
      </c>
      <c r="B15" s="3">
        <f t="shared" ref="B15:G15" si="1">B6*B$2</f>
        <v>77.5</v>
      </c>
      <c r="C15" s="3">
        <f t="shared" si="1"/>
        <v>240</v>
      </c>
      <c r="D15" s="3">
        <f t="shared" si="1"/>
        <v>230</v>
      </c>
      <c r="E15" s="3">
        <f t="shared" si="1"/>
        <v>462.5</v>
      </c>
      <c r="F15" s="3">
        <f t="shared" si="1"/>
        <v>720</v>
      </c>
      <c r="G15" s="3">
        <f t="shared" si="1"/>
        <v>940</v>
      </c>
    </row>
    <row r="16" spans="1:9" x14ac:dyDescent="0.3">
      <c r="A16" s="3" t="s">
        <v>84</v>
      </c>
      <c r="B16" s="3">
        <f t="shared" ref="B16:G16" si="2">B7*B$2</f>
        <v>60</v>
      </c>
      <c r="C16" s="3">
        <f t="shared" si="2"/>
        <v>105</v>
      </c>
      <c r="D16" s="3">
        <f t="shared" si="2"/>
        <v>310</v>
      </c>
      <c r="E16" s="3">
        <f t="shared" si="2"/>
        <v>162.5</v>
      </c>
      <c r="F16" s="3">
        <f t="shared" si="2"/>
        <v>480</v>
      </c>
      <c r="G16" s="3">
        <f t="shared" si="2"/>
        <v>860</v>
      </c>
    </row>
    <row r="17" spans="1:7" x14ac:dyDescent="0.3">
      <c r="A17" s="3" t="s">
        <v>85</v>
      </c>
      <c r="B17" s="3">
        <f t="shared" ref="B17:G17" si="3">B8*B$2</f>
        <v>70</v>
      </c>
      <c r="C17" s="3">
        <f t="shared" si="3"/>
        <v>255</v>
      </c>
      <c r="D17" s="3">
        <f t="shared" si="3"/>
        <v>260</v>
      </c>
      <c r="E17" s="3">
        <f t="shared" si="3"/>
        <v>200</v>
      </c>
      <c r="F17" s="3">
        <f t="shared" si="3"/>
        <v>210</v>
      </c>
      <c r="G17" s="3">
        <f t="shared" si="3"/>
        <v>560</v>
      </c>
    </row>
    <row r="18" spans="1:7" x14ac:dyDescent="0.3">
      <c r="A18" s="3" t="s">
        <v>86</v>
      </c>
      <c r="B18" s="3">
        <f t="shared" ref="B18:G18" si="4">B9*B$2</f>
        <v>120</v>
      </c>
      <c r="C18" s="3">
        <f t="shared" si="4"/>
        <v>135</v>
      </c>
      <c r="D18" s="3">
        <f t="shared" si="4"/>
        <v>420</v>
      </c>
      <c r="E18" s="3">
        <f t="shared" si="4"/>
        <v>125</v>
      </c>
      <c r="F18" s="3">
        <f t="shared" si="4"/>
        <v>105</v>
      </c>
      <c r="G18" s="3">
        <f t="shared" si="4"/>
        <v>580</v>
      </c>
    </row>
    <row r="19" spans="1:7" x14ac:dyDescent="0.3">
      <c r="A19" s="3" t="s">
        <v>87</v>
      </c>
      <c r="B19" s="3">
        <f t="shared" ref="B19:G19" si="5">B10*B$2</f>
        <v>160</v>
      </c>
      <c r="C19" s="3">
        <f t="shared" si="5"/>
        <v>142.5</v>
      </c>
      <c r="D19" s="3">
        <f t="shared" si="5"/>
        <v>160</v>
      </c>
      <c r="E19" s="3">
        <f t="shared" si="5"/>
        <v>200</v>
      </c>
      <c r="F19" s="3">
        <f t="shared" si="5"/>
        <v>1380</v>
      </c>
      <c r="G19" s="3">
        <f t="shared" si="5"/>
        <v>1080</v>
      </c>
    </row>
    <row r="20" spans="1:7" x14ac:dyDescent="0.3">
      <c r="B20" s="3"/>
      <c r="C20" s="3"/>
      <c r="D20" s="3"/>
      <c r="E20" s="3"/>
      <c r="F20" s="3"/>
      <c r="G20" s="3"/>
    </row>
    <row r="21" spans="1:7" x14ac:dyDescent="0.3">
      <c r="A21" s="17" t="s">
        <v>88</v>
      </c>
      <c r="B21" s="17"/>
      <c r="C21" s="17"/>
      <c r="D21" s="17"/>
      <c r="E21" s="17"/>
      <c r="F21" s="17"/>
      <c r="G21" s="17"/>
    </row>
    <row r="22" spans="1:7" x14ac:dyDescent="0.3">
      <c r="A22" s="17"/>
      <c r="B22" s="17"/>
      <c r="C22" s="17"/>
      <c r="D22" s="17"/>
      <c r="E22" s="17"/>
      <c r="F22" s="17"/>
      <c r="G22" s="17"/>
    </row>
  </sheetData>
  <mergeCells count="5">
    <mergeCell ref="A3:A4"/>
    <mergeCell ref="B3:G3"/>
    <mergeCell ref="A12:A13"/>
    <mergeCell ref="A21:G2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EAST</vt:lpstr>
      <vt:lpstr>SOUTH</vt:lpstr>
      <vt:lpstr>WEST</vt:lpstr>
      <vt:lpstr>NORTH</vt:lpstr>
      <vt:lpstr>Sheet9</vt:lpstr>
      <vt:lpstr>Sheet10</vt:lpstr>
      <vt:lpstr>Sheet11</vt:lpstr>
      <vt:lpstr>Sheet12</vt:lpstr>
      <vt:lpstr>Sheet13</vt:lpstr>
      <vt:lpstr>Sheet14</vt:lpstr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Anshil Gautam</cp:lastModifiedBy>
  <dcterms:created xsi:type="dcterms:W3CDTF">2023-05-04T04:31:10Z</dcterms:created>
  <dcterms:modified xsi:type="dcterms:W3CDTF">2026-03-29T04:06:18Z</dcterms:modified>
</cp:coreProperties>
</file>