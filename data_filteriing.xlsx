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"/>
    </mc:Choice>
  </mc:AlternateContent>
  <xr:revisionPtr revIDLastSave="0" documentId="8_{77A5793A-421C-46E3-82F2-8E0A7DCE0985}" xr6:coauthVersionLast="47" xr6:coauthVersionMax="47" xr10:uidLastSave="{00000000-0000-0000-0000-000000000000}"/>
  <bookViews>
    <workbookView xWindow="-108" yWindow="-108" windowWidth="23256" windowHeight="12456" activeTab="3" xr2:uid="{0B3222CF-F295-4FDB-9618-E3146A3F0EA4}"/>
  </bookViews>
  <sheets>
    <sheet name="Sheet1" sheetId="1" r:id="rId1"/>
    <sheet name="Scenario Summary" sheetId="4" r:id="rId2"/>
    <sheet name="Scenario Summary 2" sheetId="5" r:id="rId3"/>
    <sheet name="Sheet2" sheetId="3" r:id="rId4"/>
  </sheets>
  <definedNames>
    <definedName name="_xlnm._FilterDatabase" localSheetId="0" hidden="1">Sheet1!$F$24:$I$24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3" l="1"/>
  <c r="K9" i="3"/>
</calcChain>
</file>

<file path=xl/sharedStrings.xml><?xml version="1.0" encoding="utf-8"?>
<sst xmlns="http://schemas.openxmlformats.org/spreadsheetml/2006/main" count="261" uniqueCount="140">
  <si>
    <t>date</t>
  </si>
  <si>
    <t>category</t>
  </si>
  <si>
    <t>description</t>
  </si>
  <si>
    <t>amount</t>
  </si>
  <si>
    <t>household</t>
  </si>
  <si>
    <t>cell phone</t>
  </si>
  <si>
    <t>electricity</t>
  </si>
  <si>
    <t>pets</t>
  </si>
  <si>
    <t>food</t>
  </si>
  <si>
    <t>transportation</t>
  </si>
  <si>
    <t>fuel</t>
  </si>
  <si>
    <t>garbage</t>
  </si>
  <si>
    <t>groceries</t>
  </si>
  <si>
    <t>personal</t>
  </si>
  <si>
    <t>health/fitness club</t>
  </si>
  <si>
    <t>internet</t>
  </si>
  <si>
    <t>maintenance/repairs</t>
  </si>
  <si>
    <t>entertainment</t>
  </si>
  <si>
    <t>movies</t>
  </si>
  <si>
    <t>other</t>
  </si>
  <si>
    <t>television</t>
  </si>
  <si>
    <t>FILTER:CNTRL + SHIFT+L</t>
  </si>
  <si>
    <t>&gt;100 :GREEEN</t>
  </si>
  <si>
    <t>&lt;500 :RED</t>
  </si>
  <si>
    <t>&gt;500&lt;1000 :YELLOW</t>
  </si>
  <si>
    <t>sorting-data</t>
  </si>
  <si>
    <t xml:space="preserve">Emp_ID </t>
  </si>
  <si>
    <t xml:space="preserve">Salesman </t>
  </si>
  <si>
    <t xml:space="preserve">State </t>
  </si>
  <si>
    <t xml:space="preserve">Company </t>
  </si>
  <si>
    <t xml:space="preserve">YTD Sales </t>
  </si>
  <si>
    <t xml:space="preserve">Last Sales </t>
  </si>
  <si>
    <t xml:space="preserve">EM-1132 </t>
  </si>
  <si>
    <t xml:space="preserve">Rama </t>
  </si>
  <si>
    <t>Rajasthan</t>
  </si>
  <si>
    <t xml:space="preserve">Tata </t>
  </si>
  <si>
    <t xml:space="preserve">EM-1077 </t>
  </si>
  <si>
    <t xml:space="preserve">Krishna </t>
  </si>
  <si>
    <t>Gujarat</t>
  </si>
  <si>
    <t xml:space="preserve">Reliance </t>
  </si>
  <si>
    <t xml:space="preserve">EM-1088 </t>
  </si>
  <si>
    <t xml:space="preserve">Prakash </t>
  </si>
  <si>
    <t xml:space="preserve">Bata </t>
  </si>
  <si>
    <t xml:space="preserve">EM-1070 </t>
  </si>
  <si>
    <t xml:space="preserve">Kanupriya </t>
  </si>
  <si>
    <t xml:space="preserve">EM-1095 </t>
  </si>
  <si>
    <t xml:space="preserve">Jyoti </t>
  </si>
  <si>
    <t>Tamil Nadu</t>
  </si>
  <si>
    <t xml:space="preserve">EM-1100 </t>
  </si>
  <si>
    <t xml:space="preserve">Raja </t>
  </si>
  <si>
    <t>Uttarakhand</t>
  </si>
  <si>
    <t xml:space="preserve">EM-1102 </t>
  </si>
  <si>
    <t xml:space="preserve">Sujoy </t>
  </si>
  <si>
    <t>West Bengal</t>
  </si>
  <si>
    <t xml:space="preserve">EM-1069 </t>
  </si>
  <si>
    <t xml:space="preserve">Sunipa </t>
  </si>
  <si>
    <t xml:space="preserve">EM-1149 </t>
  </si>
  <si>
    <t xml:space="preserve">Deep </t>
  </si>
  <si>
    <t xml:space="preserve">EM-1134 </t>
  </si>
  <si>
    <t xml:space="preserve">Sangeeta </t>
  </si>
  <si>
    <t>Adv Filter</t>
  </si>
  <si>
    <t>Text to clmn</t>
  </si>
  <si>
    <t>i</t>
  </si>
  <si>
    <t>AM</t>
  </si>
  <si>
    <t>BOY</t>
  </si>
  <si>
    <t>i!am,boy</t>
  </si>
  <si>
    <t>Flash Fill</t>
  </si>
  <si>
    <t>Splitting names</t>
  </si>
  <si>
    <t>Combining columns</t>
  </si>
  <si>
    <t>Cleaning messy data</t>
  </si>
  <si>
    <t>Formatting numbers</t>
  </si>
  <si>
    <t>names</t>
  </si>
  <si>
    <t>columns</t>
  </si>
  <si>
    <t>numbers</t>
  </si>
  <si>
    <t>data</t>
  </si>
  <si>
    <t>write name and press cntrl + E</t>
  </si>
  <si>
    <t>Data Validatin</t>
  </si>
  <si>
    <r>
      <t xml:space="preserve">👉 </t>
    </r>
    <r>
      <rPr>
        <b/>
        <sz val="11"/>
        <color theme="1"/>
        <rFont val="Calibri"/>
        <family val="2"/>
        <scheme val="minor"/>
      </rPr>
      <t>Data Validation = “cell me sirf allowed data hi enter ho”</t>
    </r>
  </si>
  <si>
    <t>ques :</t>
  </si>
  <si>
    <t>add this</t>
  </si>
  <si>
    <t>extraname</t>
  </si>
  <si>
    <t>ram</t>
  </si>
  <si>
    <t>shyam</t>
  </si>
  <si>
    <t xml:space="preserve">hasrh </t>
  </si>
  <si>
    <t>abhay</t>
  </si>
  <si>
    <t>Select cell</t>
  </si>
  <si>
    <r>
      <t xml:space="preserve">Go to </t>
    </r>
    <r>
      <rPr>
        <b/>
        <sz val="11"/>
        <color theme="1"/>
        <rFont val="Calibri"/>
        <family val="2"/>
        <scheme val="minor"/>
      </rPr>
      <t>Data → Data Validation</t>
    </r>
  </si>
  <si>
    <r>
      <t xml:space="preserve">Choose </t>
    </r>
    <r>
      <rPr>
        <b/>
        <sz val="11"/>
        <color theme="1"/>
        <rFont val="Calibri"/>
        <family val="2"/>
        <scheme val="minor"/>
      </rPr>
      <t>List</t>
    </r>
  </si>
  <si>
    <r>
      <t xml:space="preserve">Enter: </t>
    </r>
    <r>
      <rPr>
        <sz val="10"/>
        <color theme="1"/>
        <rFont val="Arial Unicode MS"/>
      </rPr>
      <t>Yes,No</t>
    </r>
  </si>
  <si>
    <t>👉 Now user can only select from dropdown</t>
  </si>
  <si>
    <t>num</t>
  </si>
  <si>
    <t>Consolidate</t>
  </si>
  <si>
    <t>Table 1</t>
  </si>
  <si>
    <t>anshh</t>
  </si>
  <si>
    <t>lal</t>
  </si>
  <si>
    <t>name</t>
  </si>
  <si>
    <t>marks</t>
  </si>
  <si>
    <t>Table 2</t>
  </si>
  <si>
    <t>harsh</t>
  </si>
  <si>
    <t>ramesh</t>
  </si>
  <si>
    <t>alex</t>
  </si>
  <si>
    <t>Table 3</t>
  </si>
  <si>
    <t>remi</t>
  </si>
  <si>
    <t>yash</t>
  </si>
  <si>
    <t>hindi</t>
  </si>
  <si>
    <t>english</t>
  </si>
  <si>
    <t>total</t>
  </si>
  <si>
    <t>Avgl</t>
  </si>
  <si>
    <t>forecast</t>
  </si>
  <si>
    <t>sale</t>
  </si>
  <si>
    <t>profit</t>
  </si>
  <si>
    <t>aprl-26</t>
  </si>
  <si>
    <t>future value</t>
  </si>
  <si>
    <t>what if analysis</t>
  </si>
  <si>
    <t>scenario manager</t>
  </si>
  <si>
    <t>Computer</t>
  </si>
  <si>
    <t>item</t>
  </si>
  <si>
    <t>monitor</t>
  </si>
  <si>
    <t>cpu</t>
  </si>
  <si>
    <t>keyboard</t>
  </si>
  <si>
    <t>mouse</t>
  </si>
  <si>
    <t>hdd</t>
  </si>
  <si>
    <t>$C$24</t>
  </si>
  <si>
    <t>$C$25</t>
  </si>
  <si>
    <t>$C$26</t>
  </si>
  <si>
    <t>$C$27</t>
  </si>
  <si>
    <t>$C$28</t>
  </si>
  <si>
    <t>$C$29</t>
  </si>
  <si>
    <t>low</t>
  </si>
  <si>
    <t>Created by Anshil on 11-05-2026</t>
  </si>
  <si>
    <t>high</t>
  </si>
  <si>
    <t xml:space="preserve">very high 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</si>
  <si>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</si>
  <si>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</si>
  <si>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</si>
  <si>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</si>
  <si>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</si>
  <si>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</si>
  <si>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</si>
  <si>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goal 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</si>
</sst>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3" borderId="1" xfId="0" applyFill="1" applyBorder="1"/>
    <xf numFmtId="0" fontId="0" fillId="2" borderId="3" xfId="0" applyFill="1" applyBorder="1"/>
    <xf numFmtId="0" fontId="0" fillId="4" borderId="0" xfId="0" applyFill="1"/>
    <xf numFmtId="0" fontId="0" fillId="5" borderId="1" xfId="0" applyFill="1" applyBorder="1"/>
    <xf numFmtId="0" fontId="1" fillId="2" borderId="1" xfId="0" applyFont="1" applyFill="1" applyBorder="1"/>
    <xf numFmtId="0" fontId="6" fillId="0" borderId="0" xfId="1"/>
    <xf numFmtId="0" fontId="0" fillId="7" borderId="0" xfId="0" applyFill="1"/>
    <xf numFmtId="0" fontId="6" fillId="7" borderId="0" xfId="1" applyFill="1"/>
    <xf numFmtId="0" fontId="0" fillId="0" borderId="0" xfId="0" applyAlignment="1">
      <alignment horizontal="left" vertical="center" indent="1"/>
    </xf>
    <xf numFmtId="0" fontId="5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" fontId="0" fillId="0" borderId="0" xfId="0" applyNumberFormat="1"/>
    <xf numFmtId="17" fontId="0" fillId="0" borderId="1" xfId="0" applyNumberFormat="1" applyBorder="1"/>
    <xf numFmtId="0" fontId="8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9" xfId="0" applyFill="1" applyBorder="1" applyAlignment="1"/>
    <xf numFmtId="0" fontId="11" fillId="10" borderId="2" xfId="0" applyFont="1" applyFill="1" applyBorder="1" applyAlignment="1">
      <alignment horizontal="left"/>
    </xf>
    <xf numFmtId="0" fontId="11" fillId="10" borderId="8" xfId="0" applyFont="1" applyFill="1" applyBorder="1" applyAlignment="1">
      <alignment horizontal="left"/>
    </xf>
    <xf numFmtId="0" fontId="0" fillId="0" borderId="10" xfId="0" applyFill="1" applyBorder="1" applyAlignment="1"/>
    <xf numFmtId="0" fontId="12" fillId="11" borderId="0" xfId="0" applyFont="1" applyFill="1" applyBorder="1" applyAlignment="1">
      <alignment horizontal="left"/>
    </xf>
    <xf numFmtId="0" fontId="13" fillId="11" borderId="10" xfId="0" applyFont="1" applyFill="1" applyBorder="1" applyAlignment="1">
      <alignment horizontal="left"/>
    </xf>
    <xf numFmtId="0" fontId="12" fillId="11" borderId="9" xfId="0" applyFont="1" applyFill="1" applyBorder="1" applyAlignment="1">
      <alignment horizontal="left"/>
    </xf>
    <xf numFmtId="0" fontId="14" fillId="10" borderId="8" xfId="0" applyFont="1" applyFill="1" applyBorder="1" applyAlignment="1">
      <alignment horizontal="right"/>
    </xf>
    <xf numFmtId="0" fontId="14" fillId="10" borderId="2" xfId="0" applyFont="1" applyFill="1" applyBorder="1" applyAlignment="1">
      <alignment horizontal="right"/>
    </xf>
    <xf numFmtId="0" fontId="0" fillId="12" borderId="0" xfId="0" applyFill="1" applyBorder="1" applyAlignment="1"/>
    <xf numFmtId="0" fontId="15" fillId="0" borderId="0" xfId="0" applyFont="1" applyFill="1" applyBorder="1" applyAlignment="1">
      <alignment vertical="top"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5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@AM,A.B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7656-2FCA-4637-9D8B-654F4A23A619}">
  <dimension ref="A2:L129"/>
  <sheetViews>
    <sheetView topLeftCell="B102" zoomScale="99" zoomScaleNormal="99" workbookViewId="0">
      <selection activeCell="J123" sqref="J123:J128"/>
    </sheetView>
  </sheetViews>
  <sheetFormatPr defaultRowHeight="14.4"/>
  <cols>
    <col min="1" max="1" width="8.88671875" hidden="1" customWidth="1"/>
    <col min="2" max="2" width="14.109375" customWidth="1"/>
    <col min="3" max="3" width="22.6640625" customWidth="1"/>
    <col min="4" max="4" width="19.5546875" customWidth="1"/>
    <col min="5" max="5" width="30.6640625" customWidth="1"/>
    <col min="6" max="6" width="21" customWidth="1"/>
    <col min="7" max="7" width="31.109375" customWidth="1"/>
    <col min="8" max="8" width="14.5546875" customWidth="1"/>
    <col min="9" max="9" width="11.109375" customWidth="1"/>
  </cols>
  <sheetData>
    <row r="2" spans="2:7">
      <c r="C2" s="17" t="s">
        <v>25</v>
      </c>
      <c r="D2" s="18"/>
    </row>
    <row r="4" spans="2:7">
      <c r="B4" s="6" t="s">
        <v>0</v>
      </c>
      <c r="C4" s="6" t="s">
        <v>1</v>
      </c>
      <c r="D4" s="6" t="s">
        <v>2</v>
      </c>
      <c r="E4" s="6" t="s">
        <v>3</v>
      </c>
      <c r="F4" s="4"/>
      <c r="G4" s="5" t="s">
        <v>22</v>
      </c>
    </row>
    <row r="5" spans="2:7">
      <c r="B5" s="2">
        <v>41598</v>
      </c>
      <c r="C5" s="1" t="s">
        <v>4</v>
      </c>
      <c r="D5" s="1" t="s">
        <v>5</v>
      </c>
      <c r="E5" s="1">
        <v>750</v>
      </c>
      <c r="G5" s="5" t="s">
        <v>23</v>
      </c>
    </row>
    <row r="6" spans="2:7">
      <c r="B6" s="2">
        <v>41598</v>
      </c>
      <c r="C6" s="1" t="s">
        <v>7</v>
      </c>
      <c r="D6" s="1" t="s">
        <v>8</v>
      </c>
      <c r="E6" s="1">
        <v>370</v>
      </c>
      <c r="G6" s="5" t="s">
        <v>24</v>
      </c>
    </row>
    <row r="7" spans="2:7">
      <c r="B7" s="2">
        <v>41598</v>
      </c>
      <c r="C7" s="1" t="s">
        <v>9</v>
      </c>
      <c r="D7" s="1" t="s">
        <v>10</v>
      </c>
      <c r="E7" s="1">
        <v>780</v>
      </c>
    </row>
    <row r="8" spans="2:7">
      <c r="B8" s="2">
        <v>41598</v>
      </c>
      <c r="C8" s="1" t="s">
        <v>4</v>
      </c>
      <c r="D8" s="1" t="s">
        <v>11</v>
      </c>
      <c r="E8" s="1">
        <v>125</v>
      </c>
    </row>
    <row r="9" spans="2:7">
      <c r="B9" s="2">
        <v>41598</v>
      </c>
      <c r="C9" s="1" t="s">
        <v>13</v>
      </c>
      <c r="D9" s="1" t="s">
        <v>14</v>
      </c>
      <c r="E9" s="1">
        <v>450</v>
      </c>
    </row>
    <row r="10" spans="2:7">
      <c r="B10" s="2">
        <v>41598</v>
      </c>
      <c r="C10" s="1" t="s">
        <v>4</v>
      </c>
      <c r="D10" s="1" t="s">
        <v>15</v>
      </c>
      <c r="E10" s="1">
        <v>550</v>
      </c>
    </row>
    <row r="11" spans="2:7">
      <c r="B11" s="2">
        <v>41598</v>
      </c>
      <c r="C11" s="1" t="s">
        <v>17</v>
      </c>
      <c r="D11" s="1" t="s">
        <v>18</v>
      </c>
      <c r="E11" s="1">
        <v>350</v>
      </c>
    </row>
    <row r="12" spans="2:7">
      <c r="B12" s="2">
        <v>41598</v>
      </c>
      <c r="C12" s="1" t="s">
        <v>7</v>
      </c>
      <c r="D12" s="1" t="s">
        <v>19</v>
      </c>
      <c r="E12" s="1">
        <v>50</v>
      </c>
    </row>
    <row r="13" spans="2:7">
      <c r="B13" s="2">
        <v>41598</v>
      </c>
      <c r="C13" s="1" t="s">
        <v>4</v>
      </c>
      <c r="D13" s="1" t="s">
        <v>20</v>
      </c>
      <c r="E13" s="1">
        <v>340</v>
      </c>
    </row>
    <row r="14" spans="2:7">
      <c r="B14" s="2">
        <v>41598</v>
      </c>
      <c r="C14" s="1" t="s">
        <v>4</v>
      </c>
      <c r="D14" s="1" t="s">
        <v>6</v>
      </c>
      <c r="E14" s="1">
        <v>1235</v>
      </c>
    </row>
    <row r="15" spans="2:7">
      <c r="B15" s="2">
        <v>41598</v>
      </c>
      <c r="C15" s="1" t="s">
        <v>8</v>
      </c>
      <c r="D15" s="1" t="s">
        <v>12</v>
      </c>
      <c r="E15" s="1">
        <v>1150</v>
      </c>
    </row>
    <row r="16" spans="2:7">
      <c r="B16" s="2">
        <v>41598</v>
      </c>
      <c r="C16" s="1" t="s">
        <v>9</v>
      </c>
      <c r="D16" s="1" t="s">
        <v>16</v>
      </c>
      <c r="E16" s="1">
        <v>1650</v>
      </c>
    </row>
    <row r="21" spans="6:9">
      <c r="F21" s="14" t="s">
        <v>21</v>
      </c>
      <c r="G21" s="15"/>
    </row>
    <row r="22" spans="6:9">
      <c r="F22" s="15"/>
      <c r="G22" s="15"/>
    </row>
    <row r="23" spans="6:9">
      <c r="F23" s="16"/>
      <c r="G23" s="16"/>
    </row>
    <row r="24" spans="6:9">
      <c r="F24" s="3" t="s">
        <v>0</v>
      </c>
      <c r="G24" s="3" t="s">
        <v>1</v>
      </c>
      <c r="H24" s="3" t="s">
        <v>2</v>
      </c>
      <c r="I24" s="3" t="s">
        <v>3</v>
      </c>
    </row>
    <row r="25" spans="6:9">
      <c r="F25" s="2">
        <v>41598</v>
      </c>
      <c r="G25" s="1" t="s">
        <v>4</v>
      </c>
      <c r="H25" s="1" t="s">
        <v>5</v>
      </c>
      <c r="I25" s="1">
        <v>750</v>
      </c>
    </row>
    <row r="26" spans="6:9">
      <c r="F26" s="2">
        <v>41598</v>
      </c>
      <c r="G26" s="1" t="s">
        <v>4</v>
      </c>
      <c r="H26" s="1" t="s">
        <v>6</v>
      </c>
      <c r="I26" s="1">
        <v>1235</v>
      </c>
    </row>
    <row r="27" spans="6:9">
      <c r="F27" s="2">
        <v>41598</v>
      </c>
      <c r="G27" s="1" t="s">
        <v>7</v>
      </c>
      <c r="H27" s="1" t="s">
        <v>8</v>
      </c>
      <c r="I27" s="1">
        <v>370</v>
      </c>
    </row>
    <row r="28" spans="6:9">
      <c r="F28" s="2">
        <v>41598</v>
      </c>
      <c r="G28" s="1" t="s">
        <v>9</v>
      </c>
      <c r="H28" s="1" t="s">
        <v>10</v>
      </c>
      <c r="I28" s="1">
        <v>780</v>
      </c>
    </row>
    <row r="29" spans="6:9">
      <c r="F29" s="2">
        <v>41598</v>
      </c>
      <c r="G29" s="1" t="s">
        <v>4</v>
      </c>
      <c r="H29" s="1" t="s">
        <v>11</v>
      </c>
      <c r="I29" s="1">
        <v>125</v>
      </c>
    </row>
    <row r="30" spans="6:9">
      <c r="F30" s="2">
        <v>41598</v>
      </c>
      <c r="G30" s="1" t="s">
        <v>8</v>
      </c>
      <c r="H30" s="1" t="s">
        <v>12</v>
      </c>
      <c r="I30" s="1">
        <v>1150</v>
      </c>
    </row>
    <row r="31" spans="6:9">
      <c r="F31" s="2">
        <v>41598</v>
      </c>
      <c r="G31" s="1" t="s">
        <v>13</v>
      </c>
      <c r="H31" s="1" t="s">
        <v>14</v>
      </c>
      <c r="I31" s="1">
        <v>450</v>
      </c>
    </row>
    <row r="32" spans="6:9">
      <c r="F32" s="2">
        <v>41598</v>
      </c>
      <c r="G32" s="1" t="s">
        <v>4</v>
      </c>
      <c r="H32" s="1" t="s">
        <v>15</v>
      </c>
      <c r="I32" s="1">
        <v>550</v>
      </c>
    </row>
    <row r="33" spans="4:12">
      <c r="F33" s="2">
        <v>41598</v>
      </c>
      <c r="G33" s="1" t="s">
        <v>9</v>
      </c>
      <c r="H33" s="1" t="s">
        <v>16</v>
      </c>
      <c r="I33" s="1">
        <v>1650</v>
      </c>
    </row>
    <row r="34" spans="4:12">
      <c r="F34" s="2">
        <v>41598</v>
      </c>
      <c r="G34" s="1" t="s">
        <v>17</v>
      </c>
      <c r="H34" s="1" t="s">
        <v>18</v>
      </c>
      <c r="I34" s="1">
        <v>350</v>
      </c>
    </row>
    <row r="35" spans="4:12">
      <c r="F35" s="2">
        <v>41598</v>
      </c>
      <c r="G35" s="1" t="s">
        <v>7</v>
      </c>
      <c r="H35" s="1" t="s">
        <v>19</v>
      </c>
      <c r="I35" s="1">
        <v>50</v>
      </c>
    </row>
    <row r="36" spans="4:12">
      <c r="F36" s="2">
        <v>41598</v>
      </c>
      <c r="G36" s="1" t="s">
        <v>4</v>
      </c>
      <c r="H36" s="1" t="s">
        <v>20</v>
      </c>
      <c r="I36" s="1">
        <v>340</v>
      </c>
    </row>
    <row r="42" spans="4:12">
      <c r="E42" s="19" t="s">
        <v>60</v>
      </c>
      <c r="F42" s="20"/>
    </row>
    <row r="43" spans="4:12">
      <c r="E43" s="20"/>
      <c r="F43" s="20"/>
    </row>
    <row r="44" spans="4:12">
      <c r="E44" s="20"/>
      <c r="F44" s="20"/>
    </row>
    <row r="47" spans="4:12">
      <c r="D47" s="7" t="s">
        <v>26</v>
      </c>
      <c r="E47" s="7" t="s">
        <v>27</v>
      </c>
      <c r="F47" s="7" t="s">
        <v>28</v>
      </c>
      <c r="G47" s="7" t="s">
        <v>29</v>
      </c>
      <c r="H47" s="7" t="s">
        <v>30</v>
      </c>
      <c r="I47" s="7" t="s">
        <v>31</v>
      </c>
    </row>
    <row r="48" spans="4:12">
      <c r="D48" s="1" t="s">
        <v>32</v>
      </c>
      <c r="E48" s="1" t="s">
        <v>33</v>
      </c>
      <c r="F48" s="1" t="s">
        <v>34</v>
      </c>
      <c r="G48" s="1" t="s">
        <v>35</v>
      </c>
      <c r="H48" s="1">
        <v>70660</v>
      </c>
      <c r="I48" s="1">
        <v>205.22</v>
      </c>
      <c r="L48" s="1"/>
    </row>
    <row r="49" spans="3:12">
      <c r="D49" s="1" t="s">
        <v>36</v>
      </c>
      <c r="E49" s="1" t="s">
        <v>37</v>
      </c>
      <c r="F49" s="1" t="s">
        <v>38</v>
      </c>
      <c r="G49" s="1" t="s">
        <v>39</v>
      </c>
      <c r="H49" s="1">
        <v>92185</v>
      </c>
      <c r="I49" s="1">
        <v>686.11</v>
      </c>
      <c r="L49" s="1"/>
    </row>
    <row r="50" spans="3:12">
      <c r="D50" s="1" t="s">
        <v>40</v>
      </c>
      <c r="E50" s="1" t="s">
        <v>41</v>
      </c>
      <c r="F50" s="1" t="s">
        <v>34</v>
      </c>
      <c r="G50" s="1" t="s">
        <v>42</v>
      </c>
      <c r="H50" s="1">
        <v>29796</v>
      </c>
      <c r="I50" s="1">
        <v>84.57</v>
      </c>
    </row>
    <row r="51" spans="3:12">
      <c r="D51" s="1" t="s">
        <v>43</v>
      </c>
      <c r="E51" s="1" t="s">
        <v>44</v>
      </c>
      <c r="F51" s="1" t="s">
        <v>38</v>
      </c>
      <c r="G51" s="1" t="s">
        <v>35</v>
      </c>
      <c r="H51" s="1">
        <v>86452</v>
      </c>
      <c r="I51" s="1">
        <v>715.39</v>
      </c>
    </row>
    <row r="52" spans="3:12">
      <c r="D52" s="1" t="s">
        <v>45</v>
      </c>
      <c r="E52" s="1" t="s">
        <v>46</v>
      </c>
      <c r="F52" s="1" t="s">
        <v>47</v>
      </c>
      <c r="G52" s="1" t="s">
        <v>39</v>
      </c>
      <c r="H52" s="1">
        <v>85153</v>
      </c>
      <c r="I52" s="1">
        <v>491.64</v>
      </c>
      <c r="K52" s="7" t="s">
        <v>29</v>
      </c>
    </row>
    <row r="53" spans="3:12">
      <c r="D53" s="1" t="s">
        <v>48</v>
      </c>
      <c r="E53" s="1" t="s">
        <v>49</v>
      </c>
      <c r="F53" s="1" t="s">
        <v>50</v>
      </c>
      <c r="G53" s="1" t="s">
        <v>42</v>
      </c>
      <c r="H53" s="1">
        <v>28449</v>
      </c>
      <c r="I53" s="1">
        <v>701.1</v>
      </c>
      <c r="K53" s="1" t="s">
        <v>35</v>
      </c>
    </row>
    <row r="54" spans="3:12">
      <c r="D54" s="1" t="s">
        <v>51</v>
      </c>
      <c r="E54" s="1" t="s">
        <v>52</v>
      </c>
      <c r="F54" s="1" t="s">
        <v>53</v>
      </c>
      <c r="G54" s="1" t="s">
        <v>35</v>
      </c>
      <c r="H54" s="1">
        <v>47675</v>
      </c>
      <c r="I54" s="1">
        <v>549.36</v>
      </c>
      <c r="K54" s="1" t="s">
        <v>39</v>
      </c>
    </row>
    <row r="55" spans="3:12">
      <c r="D55" s="1" t="s">
        <v>54</v>
      </c>
      <c r="E55" s="1" t="s">
        <v>55</v>
      </c>
      <c r="F55" s="1" t="s">
        <v>53</v>
      </c>
      <c r="G55" s="1" t="s">
        <v>39</v>
      </c>
      <c r="H55" s="1">
        <v>82126</v>
      </c>
      <c r="I55" s="1">
        <v>739.4</v>
      </c>
    </row>
    <row r="56" spans="3:12">
      <c r="D56" s="1" t="s">
        <v>56</v>
      </c>
      <c r="E56" s="1" t="s">
        <v>57</v>
      </c>
      <c r="F56" s="1" t="s">
        <v>47</v>
      </c>
      <c r="G56" s="1" t="s">
        <v>42</v>
      </c>
      <c r="H56" s="1">
        <v>79089</v>
      </c>
      <c r="I56" s="1">
        <v>415.03</v>
      </c>
    </row>
    <row r="57" spans="3:12">
      <c r="D57" s="1" t="s">
        <v>58</v>
      </c>
      <c r="E57" s="1" t="s">
        <v>59</v>
      </c>
      <c r="F57" s="1" t="s">
        <v>47</v>
      </c>
      <c r="G57" s="1" t="s">
        <v>35</v>
      </c>
      <c r="H57" s="1">
        <v>32625</v>
      </c>
      <c r="I57" s="1">
        <v>120.12</v>
      </c>
    </row>
    <row r="62" spans="3:12">
      <c r="C62" s="21" t="s">
        <v>61</v>
      </c>
      <c r="D62" s="20"/>
    </row>
    <row r="63" spans="3:12">
      <c r="C63" s="20"/>
      <c r="D63" s="20"/>
    </row>
    <row r="65" spans="3:5">
      <c r="C65" s="8"/>
    </row>
    <row r="68" spans="3:5">
      <c r="C68" s="9" t="s">
        <v>65</v>
      </c>
      <c r="D68" s="9"/>
      <c r="E68" s="9"/>
    </row>
    <row r="69" spans="3:5">
      <c r="C69" s="9"/>
      <c r="D69" s="9"/>
      <c r="E69" s="9"/>
    </row>
    <row r="70" spans="3:5">
      <c r="C70" s="10" t="s">
        <v>62</v>
      </c>
      <c r="D70" s="9" t="s">
        <v>63</v>
      </c>
      <c r="E70" s="9" t="s">
        <v>64</v>
      </c>
    </row>
    <row r="74" spans="3:5">
      <c r="C74" s="22" t="s">
        <v>66</v>
      </c>
      <c r="D74" s="23"/>
    </row>
    <row r="75" spans="3:5">
      <c r="C75" s="24"/>
      <c r="D75" s="25"/>
      <c r="E75" s="9" t="s">
        <v>75</v>
      </c>
    </row>
    <row r="78" spans="3:5">
      <c r="C78" s="1" t="s">
        <v>67</v>
      </c>
      <c r="D78" s="9" t="s">
        <v>71</v>
      </c>
    </row>
    <row r="79" spans="3:5">
      <c r="C79" s="1" t="s">
        <v>68</v>
      </c>
      <c r="D79" s="9" t="s">
        <v>72</v>
      </c>
    </row>
    <row r="80" spans="3:5">
      <c r="C80" s="1" t="s">
        <v>70</v>
      </c>
      <c r="D80" s="9" t="s">
        <v>73</v>
      </c>
    </row>
    <row r="81" spans="2:9">
      <c r="C81" s="1" t="s">
        <v>69</v>
      </c>
      <c r="D81" s="9" t="s">
        <v>74</v>
      </c>
    </row>
    <row r="82" spans="2:9">
      <c r="D82" s="9"/>
    </row>
    <row r="85" spans="2:9">
      <c r="C85" s="12" t="s">
        <v>76</v>
      </c>
      <c r="D85" s="13"/>
    </row>
    <row r="86" spans="2:9">
      <c r="C86" s="13"/>
      <c r="D86" s="13"/>
      <c r="E86" s="9" t="s">
        <v>77</v>
      </c>
      <c r="F86" s="9"/>
    </row>
    <row r="88" spans="2:9">
      <c r="B88" s="11" t="s">
        <v>85</v>
      </c>
      <c r="D88" t="s">
        <v>78</v>
      </c>
      <c r="E88" t="s">
        <v>79</v>
      </c>
      <c r="F88" s="1" t="s">
        <v>81</v>
      </c>
      <c r="G88" s="1" t="s">
        <v>82</v>
      </c>
      <c r="H88" s="1" t="s">
        <v>83</v>
      </c>
      <c r="I88" s="1" t="s">
        <v>84</v>
      </c>
    </row>
    <row r="89" spans="2:9">
      <c r="B89" s="11" t="s">
        <v>86</v>
      </c>
      <c r="F89" s="1">
        <v>5</v>
      </c>
      <c r="G89" s="1">
        <v>6</v>
      </c>
      <c r="H89" s="1">
        <v>7</v>
      </c>
      <c r="I89" s="1">
        <v>8</v>
      </c>
    </row>
    <row r="90" spans="2:9">
      <c r="B90" s="11" t="s">
        <v>87</v>
      </c>
    </row>
    <row r="91" spans="2:9">
      <c r="B91" s="11" t="s">
        <v>88</v>
      </c>
    </row>
    <row r="92" spans="2:9">
      <c r="F92" s="7" t="s">
        <v>27</v>
      </c>
      <c r="G92" s="26" t="s">
        <v>80</v>
      </c>
      <c r="H92" s="26" t="s">
        <v>90</v>
      </c>
    </row>
    <row r="93" spans="2:9">
      <c r="B93" t="s">
        <v>89</v>
      </c>
      <c r="F93" s="1" t="s">
        <v>33</v>
      </c>
      <c r="G93" s="1" t="s">
        <v>83</v>
      </c>
      <c r="H93" s="1"/>
    </row>
    <row r="94" spans="2:9">
      <c r="F94" s="1" t="s">
        <v>37</v>
      </c>
      <c r="G94" s="1" t="s">
        <v>82</v>
      </c>
      <c r="H94" s="1"/>
    </row>
    <row r="95" spans="2:9">
      <c r="F95" s="1" t="s">
        <v>41</v>
      </c>
      <c r="G95" s="1" t="s">
        <v>82</v>
      </c>
      <c r="H95" s="1"/>
    </row>
    <row r="96" spans="2:9">
      <c r="F96" s="1" t="s">
        <v>44</v>
      </c>
      <c r="G96" s="1" t="s">
        <v>84</v>
      </c>
      <c r="H96" s="1"/>
    </row>
    <row r="97" spans="2:9">
      <c r="F97" s="1" t="s">
        <v>46</v>
      </c>
      <c r="G97" s="1"/>
      <c r="H97" s="1"/>
    </row>
    <row r="98" spans="2:9">
      <c r="F98" s="1" t="s">
        <v>49</v>
      </c>
      <c r="G98" s="1"/>
      <c r="H98" s="1"/>
    </row>
    <row r="103" spans="2:9">
      <c r="B103" s="28" t="s">
        <v>91</v>
      </c>
      <c r="C103" s="15"/>
    </row>
    <row r="104" spans="2:9">
      <c r="B104" s="15"/>
      <c r="C104" s="15"/>
    </row>
    <row r="106" spans="2:9">
      <c r="H106" s="30" t="s">
        <v>101</v>
      </c>
      <c r="I106" s="30"/>
    </row>
    <row r="107" spans="2:9">
      <c r="B107" s="30" t="s">
        <v>92</v>
      </c>
      <c r="C107" s="30"/>
      <c r="E107" s="30" t="s">
        <v>97</v>
      </c>
      <c r="F107" s="30"/>
      <c r="H107" s="30"/>
      <c r="I107" s="30"/>
    </row>
    <row r="108" spans="2:9">
      <c r="B108" s="30"/>
      <c r="C108" s="30"/>
      <c r="E108" s="30"/>
      <c r="F108" s="30"/>
      <c r="H108" s="29" t="s">
        <v>95</v>
      </c>
      <c r="I108" s="29" t="s">
        <v>96</v>
      </c>
    </row>
    <row r="109" spans="2:9">
      <c r="B109" s="29" t="s">
        <v>95</v>
      </c>
      <c r="C109" s="29" t="s">
        <v>96</v>
      </c>
      <c r="E109" s="29" t="s">
        <v>95</v>
      </c>
      <c r="F109" s="29" t="s">
        <v>96</v>
      </c>
      <c r="H109" s="1" t="s">
        <v>84</v>
      </c>
      <c r="I109" s="1">
        <v>80</v>
      </c>
    </row>
    <row r="110" spans="2:9">
      <c r="B110" s="1" t="s">
        <v>93</v>
      </c>
      <c r="C110" s="1">
        <v>50</v>
      </c>
      <c r="E110" s="1" t="s">
        <v>98</v>
      </c>
      <c r="F110" s="1">
        <v>20</v>
      </c>
      <c r="H110" s="1" t="s">
        <v>102</v>
      </c>
      <c r="I110" s="1">
        <v>55</v>
      </c>
    </row>
    <row r="111" spans="2:9">
      <c r="B111" s="1" t="s">
        <v>81</v>
      </c>
      <c r="C111" s="1">
        <v>60</v>
      </c>
      <c r="E111" s="1" t="s">
        <v>99</v>
      </c>
      <c r="F111" s="1">
        <v>25</v>
      </c>
      <c r="H111" s="1" t="s">
        <v>103</v>
      </c>
      <c r="I111" s="1">
        <v>60</v>
      </c>
    </row>
    <row r="112" spans="2:9">
      <c r="B112" s="1" t="s">
        <v>94</v>
      </c>
      <c r="C112" s="1">
        <v>70</v>
      </c>
      <c r="E112" s="1" t="s">
        <v>100</v>
      </c>
      <c r="F112" s="1">
        <v>30</v>
      </c>
      <c r="H112" s="1" t="s">
        <v>98</v>
      </c>
      <c r="I112" s="1">
        <v>20</v>
      </c>
    </row>
    <row r="113" spans="3:10">
      <c r="E113" s="1" t="s">
        <v>93</v>
      </c>
      <c r="F113" s="1">
        <v>50</v>
      </c>
      <c r="H113" s="1" t="s">
        <v>99</v>
      </c>
      <c r="I113" s="1">
        <v>25</v>
      </c>
    </row>
    <row r="114" spans="3:10">
      <c r="E114" s="1" t="s">
        <v>81</v>
      </c>
      <c r="F114" s="1">
        <v>60</v>
      </c>
      <c r="H114" s="1" t="s">
        <v>100</v>
      </c>
      <c r="I114" s="1">
        <v>30</v>
      </c>
    </row>
    <row r="115" spans="3:10">
      <c r="E115" s="1" t="s">
        <v>94</v>
      </c>
      <c r="F115" s="1">
        <v>70</v>
      </c>
      <c r="H115" s="1" t="s">
        <v>93</v>
      </c>
      <c r="I115" s="1">
        <v>50</v>
      </c>
    </row>
    <row r="116" spans="3:10">
      <c r="H116" s="1" t="s">
        <v>81</v>
      </c>
      <c r="I116" s="1">
        <v>60</v>
      </c>
    </row>
    <row r="117" spans="3:10">
      <c r="H117" s="1" t="s">
        <v>94</v>
      </c>
      <c r="I117" s="1">
        <v>70</v>
      </c>
    </row>
    <row r="119" spans="3:10">
      <c r="C119" s="1" t="s">
        <v>95</v>
      </c>
      <c r="D119" s="1" t="s">
        <v>96</v>
      </c>
    </row>
    <row r="120" spans="3:10">
      <c r="C120" s="1"/>
      <c r="D120" s="1"/>
    </row>
    <row r="121" spans="3:10">
      <c r="C121" s="1" t="s">
        <v>84</v>
      </c>
      <c r="D121" s="1">
        <v>80</v>
      </c>
    </row>
    <row r="122" spans="3:10">
      <c r="C122" s="1" t="s">
        <v>102</v>
      </c>
      <c r="D122" s="1">
        <v>55</v>
      </c>
      <c r="F122" s="31" t="s">
        <v>95</v>
      </c>
      <c r="G122" s="31" t="s">
        <v>104</v>
      </c>
      <c r="H122" s="3" t="s">
        <v>105</v>
      </c>
      <c r="I122" s="3" t="s">
        <v>106</v>
      </c>
      <c r="J122" s="3" t="s">
        <v>107</v>
      </c>
    </row>
    <row r="123" spans="3:10">
      <c r="C123" s="1" t="s">
        <v>103</v>
      </c>
      <c r="D123" s="1">
        <v>60</v>
      </c>
      <c r="F123" s="1" t="s">
        <v>98</v>
      </c>
      <c r="G123" s="1">
        <v>20</v>
      </c>
      <c r="H123" s="1">
        <v>10</v>
      </c>
      <c r="I123">
        <v>30</v>
      </c>
      <c r="J123">
        <v>15</v>
      </c>
    </row>
    <row r="124" spans="3:10">
      <c r="C124" s="1" t="s">
        <v>98</v>
      </c>
      <c r="D124" s="1">
        <v>40</v>
      </c>
      <c r="F124" s="1" t="s">
        <v>99</v>
      </c>
      <c r="G124" s="1">
        <v>25</v>
      </c>
      <c r="H124" s="1">
        <v>20</v>
      </c>
      <c r="I124">
        <v>45</v>
      </c>
      <c r="J124">
        <v>22.5</v>
      </c>
    </row>
    <row r="125" spans="3:10">
      <c r="C125" s="1" t="s">
        <v>99</v>
      </c>
      <c r="D125" s="1">
        <v>50</v>
      </c>
      <c r="F125" s="1" t="s">
        <v>100</v>
      </c>
      <c r="G125" s="1">
        <v>30</v>
      </c>
      <c r="H125" s="1">
        <v>30</v>
      </c>
      <c r="I125">
        <v>60</v>
      </c>
      <c r="J125">
        <v>30</v>
      </c>
    </row>
    <row r="126" spans="3:10">
      <c r="C126" s="1" t="s">
        <v>100</v>
      </c>
      <c r="D126" s="1">
        <v>60</v>
      </c>
      <c r="F126" s="1" t="s">
        <v>93</v>
      </c>
      <c r="G126" s="1">
        <v>50</v>
      </c>
      <c r="H126" s="1">
        <v>40</v>
      </c>
      <c r="I126">
        <v>90</v>
      </c>
      <c r="J126">
        <v>45</v>
      </c>
    </row>
    <row r="127" spans="3:10">
      <c r="C127" s="1" t="s">
        <v>93</v>
      </c>
      <c r="D127" s="1">
        <v>150</v>
      </c>
      <c r="F127" s="1" t="s">
        <v>81</v>
      </c>
      <c r="G127" s="1">
        <v>60</v>
      </c>
      <c r="H127" s="1">
        <v>50</v>
      </c>
      <c r="I127">
        <v>110</v>
      </c>
      <c r="J127">
        <v>55</v>
      </c>
    </row>
    <row r="128" spans="3:10">
      <c r="C128" s="1" t="s">
        <v>81</v>
      </c>
      <c r="D128" s="1">
        <v>180</v>
      </c>
      <c r="F128" s="1" t="s">
        <v>94</v>
      </c>
      <c r="G128" s="1">
        <v>70</v>
      </c>
      <c r="H128" s="1">
        <v>60</v>
      </c>
      <c r="I128">
        <v>130</v>
      </c>
      <c r="J128">
        <v>65</v>
      </c>
    </row>
    <row r="129" spans="3:4">
      <c r="C129" s="1" t="s">
        <v>94</v>
      </c>
      <c r="D129" s="1">
        <v>210</v>
      </c>
    </row>
  </sheetData>
  <sortState xmlns:xlrd2="http://schemas.microsoft.com/office/spreadsheetml/2017/richdata2" ref="B5:E16">
    <sortCondition sortBy="cellColor" ref="E5:E16" dxfId="4"/>
    <sortCondition sortBy="cellColor" ref="E5:E16" dxfId="3"/>
  </sortState>
  <dataConsolidate function="average">
    <dataRefs count="2">
      <dataRef ref="G123:G128" sheet="Sheet1"/>
      <dataRef ref="H123:H128" sheet="Sheet1"/>
    </dataRefs>
  </dataConsolidate>
  <mergeCells count="10">
    <mergeCell ref="B103:C104"/>
    <mergeCell ref="B107:C108"/>
    <mergeCell ref="E107:F108"/>
    <mergeCell ref="H106:I107"/>
    <mergeCell ref="C85:D86"/>
    <mergeCell ref="F21:G23"/>
    <mergeCell ref="C2:D2"/>
    <mergeCell ref="E42:F44"/>
    <mergeCell ref="C62:D63"/>
    <mergeCell ref="C74:D75"/>
  </mergeCells>
  <conditionalFormatting sqref="E5:E16">
    <cfRule type="cellIs" dxfId="2" priority="1" operator="lessThan">
      <formula>1000</formula>
    </cfRule>
    <cfRule type="cellIs" dxfId="1" priority="2" operator="lessThan">
      <formula>500</formula>
    </cfRule>
    <cfRule type="cellIs" dxfId="0" priority="3" operator="greaterThan">
      <formula>100</formula>
    </cfRule>
  </conditionalFormatting>
  <dataValidations count="1">
    <dataValidation type="list" allowBlank="1" showInputMessage="1" showErrorMessage="1" sqref="G93:G97" xr:uid="{4FC61DD9-C76E-44E9-ABB7-5EBD28D75F68}">
      <formula1>$F$88:$I$88</formula1>
    </dataValidation>
  </dataValidations>
  <hyperlinks>
    <hyperlink ref="C70" r:id="rId1" display="i@AM,A.BOY" xr:uid="{0C296BC9-7A3D-45AB-8599-10F4E8684DD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53D0-54C9-4627-BD77-0FA27B42AB90}">
  <sheetPr>
    <outlinePr summaryBelow="0"/>
  </sheetPr>
  <dimension ref="B1:G15"/>
  <sheetViews>
    <sheetView showGridLines="0" workbookViewId="0"/>
  </sheetViews>
  <sheetFormatPr defaultRowHeight="14.4" outlineLevelRow="1" outlineLevelCol="1"/>
  <cols>
    <col min="3" max="3" width="6.109375" bestFit="1" customWidth="1"/>
    <col min="4" max="7" width="13.109375" bestFit="1" customWidth="1" outlineLevel="1"/>
  </cols>
  <sheetData>
    <row r="1" spans="2:7" ht="15" thickBot="1"/>
    <row r="2" spans="2:7" ht="15.6">
      <c r="B2" s="45" t="s">
        <v>132</v>
      </c>
      <c r="C2" s="45"/>
      <c r="D2" s="50"/>
      <c r="E2" s="50"/>
      <c r="F2" s="50"/>
      <c r="G2" s="50"/>
    </row>
    <row r="3" spans="2:7" ht="15.6" collapsed="1">
      <c r="B3" s="44"/>
      <c r="C3" s="44"/>
      <c r="D3" s="51" t="s">
        <v>134</v>
      </c>
      <c r="E3" s="51" t="s">
        <v>128</v>
      </c>
      <c r="F3" s="51" t="s">
        <v>130</v>
      </c>
      <c r="G3" s="51" t="s">
        <v>131</v>
      </c>
    </row>
    <row r="4" spans="2:7" ht="20.399999999999999" hidden="1" outlineLevel="1">
      <c r="B4" s="47"/>
      <c r="C4" s="47"/>
      <c r="D4" s="42"/>
      <c r="E4" s="53" t="s">
        <v>129</v>
      </c>
      <c r="F4" s="53" t="s">
        <v>129</v>
      </c>
      <c r="G4" s="53" t="s">
        <v>129</v>
      </c>
    </row>
    <row r="5" spans="2:7">
      <c r="B5" s="48" t="s">
        <v>133</v>
      </c>
      <c r="C5" s="48"/>
      <c r="D5" s="46"/>
      <c r="E5" s="46"/>
      <c r="F5" s="46"/>
      <c r="G5" s="46"/>
    </row>
    <row r="6" spans="2:7" outlineLevel="1">
      <c r="B6" s="47"/>
      <c r="C6" s="47" t="s">
        <v>122</v>
      </c>
      <c r="D6" s="42">
        <v>15000</v>
      </c>
      <c r="E6" s="52">
        <v>12000</v>
      </c>
      <c r="F6" s="52">
        <v>17000</v>
      </c>
      <c r="G6" s="52">
        <v>19000</v>
      </c>
    </row>
    <row r="7" spans="2:7" outlineLevel="1">
      <c r="B7" s="47"/>
      <c r="C7" s="47" t="s">
        <v>123</v>
      </c>
      <c r="D7" s="42">
        <v>9000</v>
      </c>
      <c r="E7" s="52">
        <v>7500</v>
      </c>
      <c r="F7" s="52">
        <v>10000</v>
      </c>
      <c r="G7" s="52">
        <v>13000</v>
      </c>
    </row>
    <row r="8" spans="2:7" outlineLevel="1">
      <c r="B8" s="47"/>
      <c r="C8" s="47" t="s">
        <v>124</v>
      </c>
      <c r="D8" s="42">
        <v>450</v>
      </c>
      <c r="E8" s="52">
        <v>390</v>
      </c>
      <c r="F8" s="52">
        <v>550</v>
      </c>
      <c r="G8" s="52">
        <v>800</v>
      </c>
    </row>
    <row r="9" spans="2:7" outlineLevel="1">
      <c r="B9" s="47"/>
      <c r="C9" s="47" t="s">
        <v>125</v>
      </c>
      <c r="D9" s="42">
        <v>320</v>
      </c>
      <c r="E9" s="52">
        <v>270</v>
      </c>
      <c r="F9" s="52">
        <v>480</v>
      </c>
      <c r="G9" s="52">
        <v>500</v>
      </c>
    </row>
    <row r="10" spans="2:7" outlineLevel="1">
      <c r="B10" s="47"/>
      <c r="C10" s="47" t="s">
        <v>126</v>
      </c>
      <c r="D10" s="42">
        <v>5600</v>
      </c>
      <c r="E10" s="52">
        <v>4900</v>
      </c>
      <c r="F10" s="52">
        <v>6600</v>
      </c>
      <c r="G10" s="52">
        <v>7000</v>
      </c>
    </row>
    <row r="11" spans="2:7">
      <c r="B11" s="48" t="s">
        <v>135</v>
      </c>
      <c r="C11" s="48"/>
      <c r="D11" s="46"/>
      <c r="E11" s="46"/>
      <c r="F11" s="46"/>
      <c r="G11" s="46"/>
    </row>
    <row r="12" spans="2:7" ht="15" outlineLevel="1" thickBot="1">
      <c r="B12" s="49"/>
      <c r="C12" s="49" t="s">
        <v>127</v>
      </c>
      <c r="D12" s="43">
        <v>30370</v>
      </c>
      <c r="E12" s="43">
        <v>25060</v>
      </c>
      <c r="F12" s="43">
        <v>34630</v>
      </c>
      <c r="G12" s="43">
        <v>40300</v>
      </c>
    </row>
    <row r="13" spans="2:7">
      <c r="B13" t="s">
        <v>136</v>
      </c>
    </row>
    <row r="14" spans="2:7">
      <c r="B14" t="s">
        <v>137</v>
      </c>
    </row>
    <row r="15" spans="2:7">
      <c r="B15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B3B6-61F9-4AA9-B426-D8E1ED1354F1}">
  <sheetPr>
    <outlinePr summaryBelow="0"/>
  </sheetPr>
  <dimension ref="B1:G15"/>
  <sheetViews>
    <sheetView showGridLines="0" workbookViewId="0">
      <selection activeCell="C6" sqref="C6"/>
    </sheetView>
  </sheetViews>
  <sheetFormatPr defaultRowHeight="14.4" outlineLevelRow="1" outlineLevelCol="1"/>
  <cols>
    <col min="3" max="3" width="6.109375" bestFit="1" customWidth="1"/>
    <col min="4" max="7" width="13.109375" bestFit="1" customWidth="1" outlineLevel="1"/>
  </cols>
  <sheetData>
    <row r="1" spans="2:7" ht="15" thickBot="1"/>
    <row r="2" spans="2:7" ht="15.6">
      <c r="B2" s="45" t="s">
        <v>132</v>
      </c>
      <c r="C2" s="45"/>
      <c r="D2" s="50"/>
      <c r="E2" s="50"/>
      <c r="F2" s="50"/>
      <c r="G2" s="50"/>
    </row>
    <row r="3" spans="2:7" ht="15.6" collapsed="1">
      <c r="B3" s="44"/>
      <c r="C3" s="44"/>
      <c r="D3" s="51" t="s">
        <v>134</v>
      </c>
      <c r="E3" s="51" t="s">
        <v>128</v>
      </c>
      <c r="F3" s="51" t="s">
        <v>130</v>
      </c>
      <c r="G3" s="51" t="s">
        <v>131</v>
      </c>
    </row>
    <row r="4" spans="2:7" ht="20.399999999999999" hidden="1" outlineLevel="1">
      <c r="B4" s="47"/>
      <c r="C4" s="47"/>
      <c r="D4" s="42"/>
      <c r="E4" s="53" t="s">
        <v>129</v>
      </c>
      <c r="F4" s="53" t="s">
        <v>129</v>
      </c>
      <c r="G4" s="53" t="s">
        <v>129</v>
      </c>
    </row>
    <row r="5" spans="2:7">
      <c r="B5" s="48" t="s">
        <v>133</v>
      </c>
      <c r="C5" s="48"/>
      <c r="D5" s="46"/>
      <c r="E5" s="46"/>
      <c r="F5" s="46"/>
      <c r="G5" s="46"/>
    </row>
    <row r="6" spans="2:7" outlineLevel="1">
      <c r="B6" s="47"/>
      <c r="C6" s="47" t="s">
        <v>122</v>
      </c>
      <c r="D6" s="42">
        <v>15000</v>
      </c>
      <c r="E6" s="52">
        <v>12000</v>
      </c>
      <c r="F6" s="52">
        <v>17000</v>
      </c>
      <c r="G6" s="52">
        <v>19000</v>
      </c>
    </row>
    <row r="7" spans="2:7" outlineLevel="1">
      <c r="B7" s="47"/>
      <c r="C7" s="47" t="s">
        <v>123</v>
      </c>
      <c r="D7" s="42">
        <v>9000</v>
      </c>
      <c r="E7" s="52">
        <v>7500</v>
      </c>
      <c r="F7" s="52">
        <v>10000</v>
      </c>
      <c r="G7" s="52">
        <v>13000</v>
      </c>
    </row>
    <row r="8" spans="2:7" outlineLevel="1">
      <c r="B8" s="47"/>
      <c r="C8" s="47" t="s">
        <v>124</v>
      </c>
      <c r="D8" s="42">
        <v>450</v>
      </c>
      <c r="E8" s="52">
        <v>390</v>
      </c>
      <c r="F8" s="52">
        <v>550</v>
      </c>
      <c r="G8" s="52">
        <v>800</v>
      </c>
    </row>
    <row r="9" spans="2:7" outlineLevel="1">
      <c r="B9" s="47"/>
      <c r="C9" s="47" t="s">
        <v>125</v>
      </c>
      <c r="D9" s="42">
        <v>320</v>
      </c>
      <c r="E9" s="52">
        <v>270</v>
      </c>
      <c r="F9" s="52">
        <v>480</v>
      </c>
      <c r="G9" s="52">
        <v>500</v>
      </c>
    </row>
    <row r="10" spans="2:7" outlineLevel="1">
      <c r="B10" s="47"/>
      <c r="C10" s="47" t="s">
        <v>126</v>
      </c>
      <c r="D10" s="42">
        <v>5600</v>
      </c>
      <c r="E10" s="52">
        <v>4900</v>
      </c>
      <c r="F10" s="52">
        <v>6600</v>
      </c>
      <c r="G10" s="52">
        <v>7000</v>
      </c>
    </row>
    <row r="11" spans="2:7">
      <c r="B11" s="48" t="s">
        <v>135</v>
      </c>
      <c r="C11" s="48"/>
      <c r="D11" s="46"/>
      <c r="E11" s="46"/>
      <c r="F11" s="46"/>
      <c r="G11" s="46"/>
    </row>
    <row r="12" spans="2:7" ht="15" outlineLevel="1" thickBot="1">
      <c r="B12" s="49"/>
      <c r="C12" s="49" t="s">
        <v>127</v>
      </c>
      <c r="D12" s="43">
        <v>30370</v>
      </c>
      <c r="E12" s="43">
        <v>25060</v>
      </c>
      <c r="F12" s="43">
        <v>34630</v>
      </c>
      <c r="G12" s="43">
        <v>40300</v>
      </c>
    </row>
    <row r="13" spans="2:7">
      <c r="B13" t="s">
        <v>136</v>
      </c>
    </row>
    <row r="14" spans="2:7">
      <c r="B14" t="s">
        <v>137</v>
      </c>
    </row>
    <row r="15" spans="2:7">
      <c r="B15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4D0F5-CD90-4D8E-A171-6536D23FAF2C}">
  <dimension ref="B3:R33"/>
  <sheetViews>
    <sheetView tabSelected="1" workbookViewId="0">
      <selection activeCell="T6" sqref="T6"/>
    </sheetView>
  </sheetViews>
  <sheetFormatPr defaultRowHeight="14.4"/>
  <sheetData>
    <row r="3" spans="2:18">
      <c r="B3" s="32" t="s">
        <v>108</v>
      </c>
      <c r="C3" s="33"/>
      <c r="D3" s="33"/>
      <c r="E3" s="33"/>
      <c r="O3" s="39" t="s">
        <v>139</v>
      </c>
      <c r="P3" s="27"/>
      <c r="Q3" s="27"/>
      <c r="R3" s="27"/>
    </row>
    <row r="4" spans="2:18">
      <c r="B4" s="33"/>
      <c r="C4" s="33"/>
      <c r="D4" s="33"/>
      <c r="E4" s="33"/>
      <c r="O4" s="27"/>
      <c r="P4" s="27"/>
      <c r="Q4" s="27"/>
      <c r="R4" s="27"/>
    </row>
    <row r="5" spans="2:18">
      <c r="B5" s="33"/>
      <c r="C5" s="33"/>
      <c r="D5" s="33"/>
      <c r="E5" s="33"/>
      <c r="M5" s="54"/>
    </row>
    <row r="6" spans="2:18">
      <c r="M6" s="54"/>
    </row>
    <row r="7" spans="2:18">
      <c r="M7" s="54"/>
    </row>
    <row r="8" spans="2:18">
      <c r="C8" s="26" t="s">
        <v>0</v>
      </c>
      <c r="D8" s="26" t="s">
        <v>109</v>
      </c>
      <c r="E8" s="26" t="s">
        <v>110</v>
      </c>
      <c r="J8" s="26" t="s">
        <v>0</v>
      </c>
      <c r="K8" s="26" t="s">
        <v>109</v>
      </c>
      <c r="L8" s="26" t="s">
        <v>110</v>
      </c>
      <c r="M8" s="54"/>
    </row>
    <row r="9" spans="2:18">
      <c r="C9" s="35">
        <v>46023</v>
      </c>
      <c r="D9" s="1">
        <v>50000</v>
      </c>
      <c r="E9" s="1">
        <v>2000</v>
      </c>
      <c r="J9" s="34">
        <v>46388</v>
      </c>
      <c r="K9">
        <f>FORECAST(J9,D9:D12,C9:C12)</f>
        <v>-227269.23076923192</v>
      </c>
      <c r="M9" s="54"/>
    </row>
    <row r="10" spans="2:18">
      <c r="C10" s="35">
        <v>46054</v>
      </c>
      <c r="D10" s="1">
        <v>6000</v>
      </c>
      <c r="E10" s="1">
        <v>2500</v>
      </c>
      <c r="G10" t="s">
        <v>112</v>
      </c>
      <c r="M10" s="54"/>
    </row>
    <row r="11" spans="2:18">
      <c r="C11" s="35">
        <v>46082</v>
      </c>
      <c r="D11" s="1">
        <v>7000</v>
      </c>
      <c r="E11" s="1">
        <v>3000</v>
      </c>
      <c r="M11" s="54"/>
    </row>
    <row r="12" spans="2:18">
      <c r="C12" s="1" t="s">
        <v>111</v>
      </c>
      <c r="D12" s="1">
        <v>8000</v>
      </c>
      <c r="E12" s="1">
        <v>4000</v>
      </c>
      <c r="M12" s="54"/>
    </row>
    <row r="13" spans="2:18">
      <c r="M13" s="54"/>
    </row>
    <row r="14" spans="2:18">
      <c r="M14" s="54"/>
    </row>
    <row r="15" spans="2:18">
      <c r="M15" s="54"/>
    </row>
    <row r="16" spans="2:18">
      <c r="B16" s="36" t="s">
        <v>113</v>
      </c>
      <c r="C16" s="20"/>
      <c r="D16" s="20"/>
      <c r="M16" s="54"/>
    </row>
    <row r="17" spans="2:13">
      <c r="B17" s="20"/>
      <c r="C17" s="20"/>
      <c r="D17" s="20"/>
      <c r="M17" s="54"/>
    </row>
    <row r="18" spans="2:13">
      <c r="M18" s="54"/>
    </row>
    <row r="19" spans="2:13">
      <c r="B19" s="37" t="s">
        <v>114</v>
      </c>
      <c r="C19" s="38"/>
      <c r="D19" s="38"/>
      <c r="M19" s="54"/>
    </row>
    <row r="20" spans="2:13">
      <c r="M20" s="54"/>
    </row>
    <row r="21" spans="2:13">
      <c r="B21" s="40" t="s">
        <v>115</v>
      </c>
      <c r="C21" s="41"/>
      <c r="D21" s="41"/>
      <c r="M21" s="54"/>
    </row>
    <row r="22" spans="2:13">
      <c r="B22" s="41"/>
      <c r="C22" s="41"/>
      <c r="D22" s="41"/>
      <c r="M22" s="54"/>
    </row>
    <row r="23" spans="2:13">
      <c r="B23" s="3" t="s">
        <v>116</v>
      </c>
      <c r="C23" s="3" t="s">
        <v>3</v>
      </c>
      <c r="D23" s="1"/>
      <c r="M23" s="54"/>
    </row>
    <row r="24" spans="2:13">
      <c r="B24" s="1" t="s">
        <v>117</v>
      </c>
      <c r="C24" s="1">
        <v>15000</v>
      </c>
      <c r="D24" s="1"/>
      <c r="M24" s="54"/>
    </row>
    <row r="25" spans="2:13">
      <c r="B25" s="1" t="s">
        <v>118</v>
      </c>
      <c r="C25" s="1">
        <v>9000</v>
      </c>
      <c r="D25" s="1"/>
      <c r="M25" s="54"/>
    </row>
    <row r="26" spans="2:13">
      <c r="B26" s="1" t="s">
        <v>119</v>
      </c>
      <c r="C26" s="1">
        <v>450</v>
      </c>
      <c r="D26" s="1"/>
      <c r="M26" s="54"/>
    </row>
    <row r="27" spans="2:13">
      <c r="B27" s="1" t="s">
        <v>120</v>
      </c>
      <c r="C27" s="1">
        <v>320</v>
      </c>
      <c r="D27" s="1"/>
      <c r="M27" s="54"/>
    </row>
    <row r="28" spans="2:13">
      <c r="B28" s="1" t="s">
        <v>121</v>
      </c>
      <c r="C28" s="1">
        <v>5600</v>
      </c>
      <c r="D28" s="1"/>
      <c r="M28" s="54"/>
    </row>
    <row r="29" spans="2:13">
      <c r="B29" s="1" t="s">
        <v>106</v>
      </c>
      <c r="C29" s="1">
        <f>SUM(C24:C28)</f>
        <v>30370</v>
      </c>
      <c r="D29" s="1"/>
      <c r="M29" s="54"/>
    </row>
    <row r="30" spans="2:13">
      <c r="M30" s="54"/>
    </row>
    <row r="31" spans="2:13">
      <c r="M31" s="54"/>
    </row>
    <row r="32" spans="2:13">
      <c r="M32" s="54"/>
    </row>
    <row r="33" spans="13:13">
      <c r="M33" s="54"/>
    </row>
  </sheetData>
  <scenarios current="0" sqref="C29">
    <scenario name="low" locked="1" count="5" user="Anshil" comment="Created by Anshil on 11-05-2026">
      <inputCells r="C24" val="12000"/>
      <inputCells r="C25" val="7500"/>
      <inputCells r="C26" val="390"/>
      <inputCells r="C27" val="270"/>
      <inputCells r="C28" val="4900"/>
    </scenario>
    <scenario name="high" locked="1" count="5" user="Anshil" comment="Created by Anshil on 11-05-2026">
      <inputCells r="C24" val="17000"/>
      <inputCells r="C25" val="10000"/>
      <inputCells r="C26" val="550"/>
      <inputCells r="C27" val="480"/>
      <inputCells r="C28" val="6600"/>
    </scenario>
    <scenario name="very high " locked="1" count="5" user="Anshil" comment="Created by Anshil on 11-05-2026">
      <inputCells r="C24" val="19000"/>
      <inputCells r="C25" val="13000"/>
      <inputCells r="C26" val="800"/>
      <inputCells r="C27" val="500"/>
      <inputCells r="C28" val="7000"/>
    </scenario>
  </scenarios>
  <mergeCells count="5">
    <mergeCell ref="B3:E5"/>
    <mergeCell ref="B16:D17"/>
    <mergeCell ref="B19:D19"/>
    <mergeCell ref="B21:D22"/>
    <mergeCell ref="O3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Scenario Summary</vt:lpstr>
      <vt:lpstr>Scenario Summary 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Anshil Gautam</dc:creator>
  <cp:lastModifiedBy>Anshil Gautam</cp:lastModifiedBy>
  <dcterms:created xsi:type="dcterms:W3CDTF">2026-05-05T04:11:37Z</dcterms:created>
  <dcterms:modified xsi:type="dcterms:W3CDTF">2026-05-11T18:13:54Z</dcterms:modified>
</cp:coreProperties>
</file>