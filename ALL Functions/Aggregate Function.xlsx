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Functions\"/>
    </mc:Choice>
  </mc:AlternateContent>
  <xr:revisionPtr revIDLastSave="0" documentId="8_{8D45146A-59D5-4ADC-97E9-8C92B81D97DE}" xr6:coauthVersionLast="47" xr6:coauthVersionMax="47" xr10:uidLastSave="{00000000-0000-0000-0000-000000000000}"/>
  <bookViews>
    <workbookView xWindow="-108" yWindow="-108" windowWidth="23256" windowHeight="12456" xr2:uid="{0B7568DC-CC7E-43EF-A9E7-C04ABDF1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0" i="1" l="1"/>
  <c r="J119" i="1"/>
  <c r="J118" i="1"/>
  <c r="J115" i="1"/>
  <c r="P114" i="1"/>
  <c r="J114" i="1"/>
  <c r="J113" i="1"/>
  <c r="C98" i="1"/>
  <c r="C97" i="1"/>
  <c r="C96" i="1"/>
  <c r="I95" i="1"/>
  <c r="C95" i="1"/>
  <c r="I94" i="1"/>
  <c r="C94" i="1"/>
  <c r="P93" i="1"/>
  <c r="I93" i="1"/>
  <c r="C93" i="1"/>
  <c r="P92" i="1"/>
  <c r="I92" i="1"/>
  <c r="C92" i="1"/>
  <c r="I91" i="1"/>
  <c r="C91" i="1"/>
  <c r="C90" i="1"/>
  <c r="C89" i="1"/>
  <c r="C88" i="1"/>
  <c r="C87" i="1"/>
  <c r="J71" i="1"/>
  <c r="J69" i="1"/>
  <c r="K69" i="1" s="1"/>
  <c r="J67" i="1"/>
  <c r="E67" i="1"/>
  <c r="J66" i="1"/>
  <c r="J53" i="1"/>
  <c r="J52" i="1"/>
  <c r="J51" i="1"/>
  <c r="J27" i="1"/>
  <c r="J26" i="1"/>
  <c r="J25" i="1"/>
</calcChain>
</file>

<file path=xl/sharedStrings.xml><?xml version="1.0" encoding="utf-8"?>
<sst xmlns="http://schemas.openxmlformats.org/spreadsheetml/2006/main" count="228" uniqueCount="69">
  <si>
    <t>Agg. Function</t>
  </si>
  <si>
    <t>Sum</t>
  </si>
  <si>
    <t>Average</t>
  </si>
  <si>
    <t>Count</t>
  </si>
  <si>
    <t>Max</t>
  </si>
  <si>
    <t>Sumif</t>
  </si>
  <si>
    <t>Averageif</t>
  </si>
  <si>
    <t>CountA</t>
  </si>
  <si>
    <t>Min</t>
  </si>
  <si>
    <t>sumifs</t>
  </si>
  <si>
    <t>Averageifs</t>
  </si>
  <si>
    <t>Countif</t>
  </si>
  <si>
    <t>Maxifs</t>
  </si>
  <si>
    <t>AverageA</t>
  </si>
  <si>
    <t>Countifs</t>
  </si>
  <si>
    <t>Minifs</t>
  </si>
  <si>
    <t>Countblank</t>
  </si>
  <si>
    <t>dcount</t>
  </si>
  <si>
    <t>Sum:-</t>
  </si>
  <si>
    <t xml:space="preserve"> =sum(Num_1,num_2,num_3,-------)</t>
  </si>
  <si>
    <t xml:space="preserve"> =sumif(Range,criteria,sum_range)</t>
  </si>
  <si>
    <t>Sumifs</t>
  </si>
  <si>
    <t xml:space="preserve"> =sumifs(sum_range,criteria_range_1,criteria_1,criteria_range_2,criteria_2,-----)</t>
  </si>
  <si>
    <t>category</t>
  </si>
  <si>
    <t>description</t>
  </si>
  <si>
    <t>amount</t>
  </si>
  <si>
    <t>household</t>
  </si>
  <si>
    <t>cell phone</t>
  </si>
  <si>
    <t>electricity</t>
  </si>
  <si>
    <t>pets</t>
  </si>
  <si>
    <t>food</t>
  </si>
  <si>
    <t>transportation</t>
  </si>
  <si>
    <t>fuel</t>
  </si>
  <si>
    <t>sum</t>
  </si>
  <si>
    <t>garbage</t>
  </si>
  <si>
    <t>sumif</t>
  </si>
  <si>
    <t>groceries</t>
  </si>
  <si>
    <t>personal</t>
  </si>
  <si>
    <t>health/fitness club</t>
  </si>
  <si>
    <t>internet</t>
  </si>
  <si>
    <t>maintenance/repairs</t>
  </si>
  <si>
    <t>entertainment</t>
  </si>
  <si>
    <t>movies</t>
  </si>
  <si>
    <t>other</t>
  </si>
  <si>
    <t xml:space="preserve"> =Average(Num_1,num_2,num_3,-------)</t>
  </si>
  <si>
    <t xml:space="preserve"> =Averageif(Range,criteria,Average_range)</t>
  </si>
  <si>
    <t xml:space="preserve"> =Averageifs(Average_range,criteria_range_1,criteria_1,criteria_range_2,criteria_2,-----)</t>
  </si>
  <si>
    <t xml:space="preserve"> =AverageA(Num_1,num_2,num_3,-------)</t>
  </si>
  <si>
    <t>it is work number</t>
  </si>
  <si>
    <t>it is work on all type of data.</t>
  </si>
  <si>
    <t>Ram</t>
  </si>
  <si>
    <t>Aman</t>
  </si>
  <si>
    <t xml:space="preserve"> =count(Num_1,num_2,----)</t>
  </si>
  <si>
    <t>It is work only number data.</t>
  </si>
  <si>
    <t xml:space="preserve"> =countA(Value_1,value_2,-----)</t>
  </si>
  <si>
    <t>It is work on all type of data.</t>
  </si>
  <si>
    <t xml:space="preserve"> =countif(criteria_range,criteria)</t>
  </si>
  <si>
    <t xml:space="preserve"> =countifs(criteria_range_1,criteria_1,criteria_range_2,criteria_2,-----)</t>
  </si>
  <si>
    <t xml:space="preserve"> =countBlank(Array)</t>
  </si>
  <si>
    <t>Max/Maxifs</t>
  </si>
  <si>
    <t>Min/Minifs</t>
  </si>
  <si>
    <t>maxifs</t>
  </si>
  <si>
    <t xml:space="preserve"> =maxifs(max_range,criteria_range_1,criteria_1,criteria_range_2,criteria_2,----)</t>
  </si>
  <si>
    <t>minifs</t>
  </si>
  <si>
    <t xml:space="preserve"> =minifs(min_range,criteria_range_1,criteria_1,criteria_range_2,criteria_2,----)</t>
  </si>
  <si>
    <t>Maxifs(1 condition)</t>
  </si>
  <si>
    <t>Maxifs(&gt;1 condition)</t>
  </si>
  <si>
    <t>Minifs(1 condition)</t>
  </si>
  <si>
    <t>Minifs(&gt;1 condition)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</si>
</sst>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FCB3-4BCC-45CB-A714-6F1E533A9749}">
  <dimension ref="A1:P120"/>
  <sheetViews>
    <sheetView tabSelected="1" workbookViewId="0">
      <selection activeCell="M5" sqref="M5"/>
    </sheetView>
  </sheetViews>
  <sheetFormatPr defaultRowHeight="14.4" x14ac:dyDescent="0.3"/>
  <cols>
    <col min="4" max="4" width="13.88671875" bestFit="1" customWidth="1"/>
    <col min="5" max="5" width="15.33203125" customWidth="1"/>
    <col min="6" max="6" width="17.88671875" customWidth="1"/>
    <col min="8" max="8" width="11.109375" bestFit="1" customWidth="1"/>
    <col min="9" max="9" width="19.21875" bestFit="1" customWidth="1"/>
    <col min="10" max="10" width="11.21875" customWidth="1"/>
    <col min="11" max="11" width="12" customWidth="1"/>
    <col min="12" max="12" width="13.88671875" bestFit="1" customWidth="1"/>
    <col min="13" max="13" width="18.77734375" customWidth="1"/>
    <col min="14" max="14" width="10.6640625" bestFit="1" customWidth="1"/>
    <col min="16" max="16" width="10.6640625" bestFit="1" customWidth="1"/>
  </cols>
  <sheetData>
    <row r="1" spans="1:6" x14ac:dyDescent="0.3">
      <c r="A1" s="1" t="s">
        <v>0</v>
      </c>
      <c r="B1" s="1"/>
      <c r="C1" s="1"/>
      <c r="D1" s="1"/>
    </row>
    <row r="2" spans="1:6" x14ac:dyDescent="0.3">
      <c r="A2" s="1"/>
      <c r="B2" s="1"/>
      <c r="C2" s="1"/>
      <c r="D2" s="1"/>
    </row>
    <row r="5" spans="1:6" x14ac:dyDescent="0.3">
      <c r="C5" s="2" t="s">
        <v>1</v>
      </c>
      <c r="D5" s="2" t="s">
        <v>2</v>
      </c>
      <c r="E5" s="2" t="s">
        <v>3</v>
      </c>
      <c r="F5" s="2" t="s">
        <v>4</v>
      </c>
    </row>
    <row r="6" spans="1:6" x14ac:dyDescent="0.3">
      <c r="C6" s="2" t="s">
        <v>5</v>
      </c>
      <c r="D6" s="2" t="s">
        <v>6</v>
      </c>
      <c r="E6" s="2" t="s">
        <v>7</v>
      </c>
      <c r="F6" s="2" t="s">
        <v>8</v>
      </c>
    </row>
    <row r="7" spans="1:6" x14ac:dyDescent="0.3">
      <c r="C7" s="2" t="s">
        <v>9</v>
      </c>
      <c r="D7" s="2" t="s">
        <v>10</v>
      </c>
      <c r="E7" s="2" t="s">
        <v>11</v>
      </c>
      <c r="F7" s="2" t="s">
        <v>12</v>
      </c>
    </row>
    <row r="8" spans="1:6" x14ac:dyDescent="0.3">
      <c r="C8" s="2"/>
      <c r="D8" s="2" t="s">
        <v>13</v>
      </c>
      <c r="E8" s="2" t="s">
        <v>14</v>
      </c>
      <c r="F8" s="2" t="s">
        <v>15</v>
      </c>
    </row>
    <row r="9" spans="1:6" x14ac:dyDescent="0.3">
      <c r="C9" s="2"/>
      <c r="D9" s="2"/>
      <c r="E9" s="2" t="s">
        <v>16</v>
      </c>
      <c r="F9" s="2"/>
    </row>
    <row r="10" spans="1:6" x14ac:dyDescent="0.3">
      <c r="E10" s="3" t="s">
        <v>17</v>
      </c>
    </row>
    <row r="14" spans="1:6" x14ac:dyDescent="0.3">
      <c r="B14" s="4" t="s">
        <v>18</v>
      </c>
      <c r="C14" s="5"/>
    </row>
    <row r="16" spans="1:6" x14ac:dyDescent="0.3">
      <c r="D16" t="s">
        <v>1</v>
      </c>
      <c r="E16" t="s">
        <v>19</v>
      </c>
    </row>
    <row r="17" spans="4:11" x14ac:dyDescent="0.3">
      <c r="D17" t="s">
        <v>5</v>
      </c>
      <c r="E17" t="s">
        <v>20</v>
      </c>
    </row>
    <row r="18" spans="4:11" x14ac:dyDescent="0.3">
      <c r="D18" t="s">
        <v>21</v>
      </c>
      <c r="E18" t="s">
        <v>22</v>
      </c>
    </row>
    <row r="21" spans="4:11" x14ac:dyDescent="0.3">
      <c r="E21" s="6" t="s">
        <v>23</v>
      </c>
      <c r="F21" s="6" t="s">
        <v>24</v>
      </c>
      <c r="G21" s="6" t="s">
        <v>25</v>
      </c>
      <c r="J21" s="6" t="s">
        <v>23</v>
      </c>
      <c r="K21" s="6" t="s">
        <v>24</v>
      </c>
    </row>
    <row r="22" spans="4:11" x14ac:dyDescent="0.3">
      <c r="E22" s="2" t="s">
        <v>26</v>
      </c>
      <c r="F22" s="2" t="s">
        <v>27</v>
      </c>
      <c r="G22" s="7">
        <v>750</v>
      </c>
      <c r="J22" s="2" t="s">
        <v>26</v>
      </c>
      <c r="K22" s="8" t="s">
        <v>28</v>
      </c>
    </row>
    <row r="23" spans="4:11" x14ac:dyDescent="0.3">
      <c r="E23" s="2" t="s">
        <v>26</v>
      </c>
      <c r="F23" s="8" t="s">
        <v>28</v>
      </c>
      <c r="G23" s="7">
        <v>1235</v>
      </c>
    </row>
    <row r="24" spans="4:11" x14ac:dyDescent="0.3">
      <c r="E24" s="2" t="s">
        <v>29</v>
      </c>
      <c r="F24" s="2" t="s">
        <v>30</v>
      </c>
      <c r="G24" s="2">
        <v>370</v>
      </c>
    </row>
    <row r="25" spans="4:11" x14ac:dyDescent="0.3">
      <c r="E25" s="2" t="s">
        <v>31</v>
      </c>
      <c r="F25" s="2" t="s">
        <v>32</v>
      </c>
      <c r="G25" s="2">
        <v>780</v>
      </c>
      <c r="I25" t="s">
        <v>33</v>
      </c>
      <c r="J25">
        <f>SUM(G22:G33)</f>
        <v>7800</v>
      </c>
    </row>
    <row r="26" spans="4:11" x14ac:dyDescent="0.3">
      <c r="E26" s="2" t="s">
        <v>26</v>
      </c>
      <c r="F26" s="2" t="s">
        <v>34</v>
      </c>
      <c r="G26" s="7">
        <v>125</v>
      </c>
      <c r="I26" t="s">
        <v>35</v>
      </c>
      <c r="J26">
        <f>SUMIF(E22:E33,"household",G22:G33)</f>
        <v>3000</v>
      </c>
    </row>
    <row r="27" spans="4:11" x14ac:dyDescent="0.3">
      <c r="E27" s="2" t="s">
        <v>30</v>
      </c>
      <c r="F27" s="2" t="s">
        <v>36</v>
      </c>
      <c r="G27" s="2">
        <v>1150</v>
      </c>
      <c r="I27" t="s">
        <v>9</v>
      </c>
      <c r="J27">
        <f>SUMIFS(G22:G33,E22:E33,J22,F22:F33,K22)</f>
        <v>1575</v>
      </c>
    </row>
    <row r="28" spans="4:11" x14ac:dyDescent="0.3">
      <c r="E28" s="2" t="s">
        <v>37</v>
      </c>
      <c r="F28" s="2" t="s">
        <v>38</v>
      </c>
      <c r="G28" s="2">
        <v>450</v>
      </c>
    </row>
    <row r="29" spans="4:11" x14ac:dyDescent="0.3">
      <c r="E29" s="2" t="s">
        <v>26</v>
      </c>
      <c r="F29" s="2" t="s">
        <v>39</v>
      </c>
      <c r="G29" s="7">
        <v>550</v>
      </c>
    </row>
    <row r="30" spans="4:11" x14ac:dyDescent="0.3">
      <c r="E30" s="2" t="s">
        <v>31</v>
      </c>
      <c r="F30" s="2" t="s">
        <v>40</v>
      </c>
      <c r="G30" s="2">
        <v>1650</v>
      </c>
    </row>
    <row r="31" spans="4:11" x14ac:dyDescent="0.3">
      <c r="E31" s="2" t="s">
        <v>41</v>
      </c>
      <c r="F31" s="2" t="s">
        <v>42</v>
      </c>
      <c r="G31" s="2">
        <v>350</v>
      </c>
    </row>
    <row r="32" spans="4:11" x14ac:dyDescent="0.3">
      <c r="E32" s="2" t="s">
        <v>29</v>
      </c>
      <c r="F32" s="2" t="s">
        <v>43</v>
      </c>
      <c r="G32" s="2">
        <v>50</v>
      </c>
    </row>
    <row r="33" spans="3:11" x14ac:dyDescent="0.3">
      <c r="E33" s="2" t="s">
        <v>26</v>
      </c>
      <c r="F33" s="8" t="s">
        <v>28</v>
      </c>
      <c r="G33" s="7">
        <v>340</v>
      </c>
    </row>
    <row r="37" spans="3:11" ht="15.6" x14ac:dyDescent="0.3">
      <c r="C37" s="9" t="s">
        <v>2</v>
      </c>
      <c r="D37" s="9"/>
    </row>
    <row r="39" spans="3:11" x14ac:dyDescent="0.3">
      <c r="E39" t="s">
        <v>2</v>
      </c>
      <c r="F39" t="s">
        <v>44</v>
      </c>
    </row>
    <row r="40" spans="3:11" x14ac:dyDescent="0.3">
      <c r="E40" t="s">
        <v>6</v>
      </c>
      <c r="F40" t="s">
        <v>45</v>
      </c>
    </row>
    <row r="41" spans="3:11" x14ac:dyDescent="0.3">
      <c r="E41" t="s">
        <v>10</v>
      </c>
      <c r="F41" t="s">
        <v>46</v>
      </c>
    </row>
    <row r="42" spans="3:11" x14ac:dyDescent="0.3">
      <c r="E42" t="s">
        <v>13</v>
      </c>
      <c r="F42" t="s">
        <v>47</v>
      </c>
    </row>
    <row r="45" spans="3:11" x14ac:dyDescent="0.3">
      <c r="E45" s="6" t="s">
        <v>23</v>
      </c>
      <c r="F45" s="6" t="s">
        <v>24</v>
      </c>
      <c r="G45" s="6" t="s">
        <v>25</v>
      </c>
      <c r="J45" s="6" t="s">
        <v>23</v>
      </c>
      <c r="K45" s="6" t="s">
        <v>24</v>
      </c>
    </row>
    <row r="46" spans="3:11" x14ac:dyDescent="0.3">
      <c r="E46" s="2" t="s">
        <v>26</v>
      </c>
      <c r="F46" s="2" t="s">
        <v>27</v>
      </c>
      <c r="G46" s="7">
        <v>750</v>
      </c>
      <c r="J46" s="2" t="s">
        <v>26</v>
      </c>
      <c r="K46" s="8" t="s">
        <v>28</v>
      </c>
    </row>
    <row r="47" spans="3:11" x14ac:dyDescent="0.3">
      <c r="E47" s="2" t="s">
        <v>26</v>
      </c>
      <c r="F47" s="8" t="s">
        <v>28</v>
      </c>
      <c r="G47" s="7">
        <v>1235</v>
      </c>
    </row>
    <row r="48" spans="3:11" x14ac:dyDescent="0.3">
      <c r="E48" s="2" t="s">
        <v>29</v>
      </c>
      <c r="F48" s="2" t="s">
        <v>30</v>
      </c>
      <c r="G48" s="2">
        <v>370</v>
      </c>
    </row>
    <row r="49" spans="5:10" x14ac:dyDescent="0.3">
      <c r="E49" s="2" t="s">
        <v>31</v>
      </c>
      <c r="F49" s="2" t="s">
        <v>32</v>
      </c>
      <c r="G49" s="2">
        <v>780</v>
      </c>
    </row>
    <row r="50" spans="5:10" x14ac:dyDescent="0.3">
      <c r="E50" s="2" t="s">
        <v>26</v>
      </c>
      <c r="F50" s="2" t="s">
        <v>34</v>
      </c>
      <c r="G50" s="7">
        <v>125</v>
      </c>
    </row>
    <row r="51" spans="5:10" x14ac:dyDescent="0.3">
      <c r="E51" s="2" t="s">
        <v>30</v>
      </c>
      <c r="F51" s="2" t="s">
        <v>36</v>
      </c>
      <c r="G51" s="2">
        <v>1150</v>
      </c>
      <c r="I51" t="s">
        <v>2</v>
      </c>
      <c r="J51">
        <f>AVERAGE(G46:G57)</f>
        <v>650</v>
      </c>
    </row>
    <row r="52" spans="5:10" x14ac:dyDescent="0.3">
      <c r="E52" s="2" t="s">
        <v>37</v>
      </c>
      <c r="F52" s="2" t="s">
        <v>38</v>
      </c>
      <c r="G52" s="2">
        <v>450</v>
      </c>
      <c r="I52" t="s">
        <v>6</v>
      </c>
      <c r="J52">
        <f>AVERAGEIF(E46:E57,J46,G46:G57)</f>
        <v>600</v>
      </c>
    </row>
    <row r="53" spans="5:10" x14ac:dyDescent="0.3">
      <c r="E53" s="2" t="s">
        <v>26</v>
      </c>
      <c r="F53" s="2" t="s">
        <v>39</v>
      </c>
      <c r="G53" s="7">
        <v>550</v>
      </c>
      <c r="I53" t="s">
        <v>10</v>
      </c>
      <c r="J53">
        <f>AVERAGEIFS(G46:G57,E46:E57,J46,F46:F57,K46)</f>
        <v>787.5</v>
      </c>
    </row>
    <row r="54" spans="5:10" x14ac:dyDescent="0.3">
      <c r="E54" s="2" t="s">
        <v>31</v>
      </c>
      <c r="F54" s="2" t="s">
        <v>40</v>
      </c>
      <c r="G54" s="2">
        <v>1650</v>
      </c>
    </row>
    <row r="55" spans="5:10" x14ac:dyDescent="0.3">
      <c r="E55" s="2" t="s">
        <v>41</v>
      </c>
      <c r="F55" s="2" t="s">
        <v>42</v>
      </c>
      <c r="G55" s="2">
        <v>350</v>
      </c>
    </row>
    <row r="56" spans="5:10" x14ac:dyDescent="0.3">
      <c r="E56" s="2" t="s">
        <v>29</v>
      </c>
      <c r="F56" s="2" t="s">
        <v>43</v>
      </c>
      <c r="G56" s="2">
        <v>50</v>
      </c>
    </row>
    <row r="57" spans="5:10" x14ac:dyDescent="0.3">
      <c r="E57" s="2" t="s">
        <v>26</v>
      </c>
      <c r="F57" s="8" t="s">
        <v>28</v>
      </c>
      <c r="G57" s="7">
        <v>340</v>
      </c>
    </row>
    <row r="61" spans="5:10" x14ac:dyDescent="0.3">
      <c r="E61" t="s">
        <v>2</v>
      </c>
      <c r="F61" t="s">
        <v>48</v>
      </c>
    </row>
    <row r="62" spans="5:10" x14ac:dyDescent="0.3">
      <c r="E62" t="s">
        <v>13</v>
      </c>
      <c r="F62" t="s">
        <v>49</v>
      </c>
    </row>
    <row r="66" spans="2:11" x14ac:dyDescent="0.3">
      <c r="C66" s="2">
        <v>56</v>
      </c>
      <c r="E66" t="s">
        <v>2</v>
      </c>
      <c r="G66" s="2">
        <v>56</v>
      </c>
      <c r="H66">
        <v>56</v>
      </c>
      <c r="J66">
        <f>AVERAGE(G66:G74)</f>
        <v>46.25</v>
      </c>
    </row>
    <row r="67" spans="2:11" x14ac:dyDescent="0.3">
      <c r="C67" s="2">
        <v>25</v>
      </c>
      <c r="E67">
        <f>AVERAGE(C66:C69)</f>
        <v>46.25</v>
      </c>
      <c r="G67" s="2" t="s">
        <v>50</v>
      </c>
      <c r="H67">
        <v>0</v>
      </c>
      <c r="J67">
        <f>AVERAGEA(G66:G74)</f>
        <v>20.777777777777779</v>
      </c>
    </row>
    <row r="68" spans="2:11" x14ac:dyDescent="0.3">
      <c r="C68" s="2">
        <v>63</v>
      </c>
      <c r="G68" s="2" t="b">
        <v>1</v>
      </c>
      <c r="H68">
        <v>1</v>
      </c>
    </row>
    <row r="69" spans="2:11" x14ac:dyDescent="0.3">
      <c r="C69" s="2">
        <v>41</v>
      </c>
      <c r="G69" s="2">
        <v>25</v>
      </c>
      <c r="H69">
        <v>25</v>
      </c>
      <c r="J69">
        <f>G66+G69+G71+G74</f>
        <v>185</v>
      </c>
      <c r="K69">
        <f>J69/9</f>
        <v>20.555555555555557</v>
      </c>
    </row>
    <row r="70" spans="2:11" x14ac:dyDescent="0.3">
      <c r="G70" s="2" t="s">
        <v>51</v>
      </c>
      <c r="H70">
        <v>0</v>
      </c>
    </row>
    <row r="71" spans="2:11" x14ac:dyDescent="0.3">
      <c r="G71" s="2">
        <v>63</v>
      </c>
      <c r="H71">
        <v>63</v>
      </c>
      <c r="J71">
        <f>AVERAGE(H66:H74)</f>
        <v>20.777777777777779</v>
      </c>
    </row>
    <row r="72" spans="2:11" x14ac:dyDescent="0.3">
      <c r="G72" s="2" t="b">
        <v>0</v>
      </c>
      <c r="H72">
        <v>0</v>
      </c>
    </row>
    <row r="73" spans="2:11" x14ac:dyDescent="0.3">
      <c r="G73" s="2" t="b">
        <v>1</v>
      </c>
      <c r="H73">
        <v>1</v>
      </c>
    </row>
    <row r="74" spans="2:11" x14ac:dyDescent="0.3">
      <c r="G74" s="2">
        <v>41</v>
      </c>
      <c r="H74">
        <v>41</v>
      </c>
    </row>
    <row r="77" spans="2:11" x14ac:dyDescent="0.3">
      <c r="B77" s="10" t="s">
        <v>3</v>
      </c>
      <c r="C77" s="10"/>
    </row>
    <row r="79" spans="2:11" x14ac:dyDescent="0.3">
      <c r="D79" t="s">
        <v>3</v>
      </c>
      <c r="E79" t="s">
        <v>52</v>
      </c>
      <c r="G79" t="s">
        <v>53</v>
      </c>
    </row>
    <row r="80" spans="2:11" x14ac:dyDescent="0.3">
      <c r="D80" t="s">
        <v>7</v>
      </c>
      <c r="E80" t="s">
        <v>54</v>
      </c>
      <c r="G80" t="s">
        <v>55</v>
      </c>
    </row>
    <row r="81" spans="3:16" x14ac:dyDescent="0.3">
      <c r="D81" t="s">
        <v>11</v>
      </c>
      <c r="E81" t="s">
        <v>56</v>
      </c>
    </row>
    <row r="82" spans="3:16" x14ac:dyDescent="0.3">
      <c r="D82" t="s">
        <v>14</v>
      </c>
      <c r="E82" t="s">
        <v>57</v>
      </c>
    </row>
    <row r="83" spans="3:16" x14ac:dyDescent="0.3">
      <c r="D83" t="s">
        <v>16</v>
      </c>
      <c r="E83" t="s">
        <v>58</v>
      </c>
    </row>
    <row r="86" spans="3:16" x14ac:dyDescent="0.3">
      <c r="D86" s="6" t="s">
        <v>23</v>
      </c>
      <c r="E86" s="6" t="s">
        <v>24</v>
      </c>
      <c r="F86" s="6" t="s">
        <v>25</v>
      </c>
      <c r="H86" s="6" t="s">
        <v>23</v>
      </c>
      <c r="I86" s="6" t="s">
        <v>24</v>
      </c>
    </row>
    <row r="87" spans="3:16" x14ac:dyDescent="0.3">
      <c r="C87">
        <f>COUNTIF(D87:$D$87,D87)</f>
        <v>1</v>
      </c>
      <c r="D87" s="2" t="s">
        <v>26</v>
      </c>
      <c r="E87" s="2" t="s">
        <v>27</v>
      </c>
      <c r="F87" s="7">
        <v>750</v>
      </c>
      <c r="H87" s="2" t="s">
        <v>26</v>
      </c>
      <c r="I87" s="8" t="s">
        <v>28</v>
      </c>
    </row>
    <row r="88" spans="3:16" x14ac:dyDescent="0.3">
      <c r="C88">
        <f>COUNTIF(D$87:$D88,D88)</f>
        <v>2</v>
      </c>
      <c r="D88" s="2" t="s">
        <v>26</v>
      </c>
      <c r="E88" s="8" t="s">
        <v>28</v>
      </c>
      <c r="F88" s="7">
        <v>1235</v>
      </c>
      <c r="P88" s="6" t="s">
        <v>23</v>
      </c>
    </row>
    <row r="89" spans="3:16" x14ac:dyDescent="0.3">
      <c r="C89">
        <f>COUNTIF(D$87:$D89,D89)</f>
        <v>3</v>
      </c>
      <c r="D89" s="2" t="s">
        <v>26</v>
      </c>
      <c r="E89" s="2" t="s">
        <v>34</v>
      </c>
      <c r="F89" s="7">
        <v>125</v>
      </c>
      <c r="L89" s="6" t="s">
        <v>23</v>
      </c>
      <c r="M89" s="6" t="s">
        <v>24</v>
      </c>
      <c r="N89" s="6" t="s">
        <v>25</v>
      </c>
      <c r="P89" s="2" t="s">
        <v>26</v>
      </c>
    </row>
    <row r="90" spans="3:16" x14ac:dyDescent="0.3">
      <c r="C90">
        <f>COUNTIF(D$87:$D90,D90)</f>
        <v>1</v>
      </c>
      <c r="D90" s="2" t="s">
        <v>29</v>
      </c>
      <c r="E90" s="2" t="s">
        <v>30</v>
      </c>
      <c r="F90" s="2">
        <v>370</v>
      </c>
      <c r="L90" s="2" t="s">
        <v>26</v>
      </c>
      <c r="M90" s="2" t="s">
        <v>27</v>
      </c>
      <c r="N90" s="7">
        <v>750</v>
      </c>
    </row>
    <row r="91" spans="3:16" x14ac:dyDescent="0.3">
      <c r="C91">
        <f>COUNTIF(D$87:$D91,D91)</f>
        <v>1</v>
      </c>
      <c r="D91" s="2" t="s">
        <v>31</v>
      </c>
      <c r="E91" s="2"/>
      <c r="F91" s="2">
        <v>780</v>
      </c>
      <c r="H91" t="s">
        <v>3</v>
      </c>
      <c r="I91">
        <f>COUNT(D86:F98)</f>
        <v>12</v>
      </c>
      <c r="L91" s="2" t="s">
        <v>26</v>
      </c>
      <c r="M91" s="8" t="s">
        <v>28</v>
      </c>
      <c r="N91" s="7">
        <v>1235</v>
      </c>
    </row>
    <row r="92" spans="3:16" x14ac:dyDescent="0.3">
      <c r="C92">
        <f>COUNTIF(D$87:$D92,D92)</f>
        <v>4</v>
      </c>
      <c r="D92" s="2" t="s">
        <v>26</v>
      </c>
      <c r="E92" s="2" t="s">
        <v>39</v>
      </c>
      <c r="F92" s="7">
        <v>550</v>
      </c>
      <c r="H92" t="s">
        <v>7</v>
      </c>
      <c r="I92">
        <f>COUNTA(D86:F98)</f>
        <v>38</v>
      </c>
      <c r="L92" s="2" t="s">
        <v>26</v>
      </c>
      <c r="M92" s="2" t="s">
        <v>34</v>
      </c>
      <c r="N92" s="7">
        <v>125</v>
      </c>
      <c r="P92">
        <f>DCOUNT(L89:N101,N89,P88:P89)</f>
        <v>6</v>
      </c>
    </row>
    <row r="93" spans="3:16" x14ac:dyDescent="0.3">
      <c r="C93">
        <f>COUNTIF(D$87:$D93,D93)</f>
        <v>1</v>
      </c>
      <c r="D93" s="2" t="s">
        <v>30</v>
      </c>
      <c r="E93" s="2" t="s">
        <v>36</v>
      </c>
      <c r="F93" s="2">
        <v>1150</v>
      </c>
      <c r="H93" t="s">
        <v>11</v>
      </c>
      <c r="I93">
        <f>COUNTIF(D87:D98,H87)</f>
        <v>5</v>
      </c>
      <c r="L93" s="2" t="s">
        <v>29</v>
      </c>
      <c r="M93" s="2" t="s">
        <v>30</v>
      </c>
      <c r="N93" s="2">
        <v>370</v>
      </c>
      <c r="P93">
        <f>DCOUNTA(L89:N101,M89,P88:P89)</f>
        <v>6</v>
      </c>
    </row>
    <row r="94" spans="3:16" x14ac:dyDescent="0.3">
      <c r="C94">
        <f>COUNTIF(D$87:$D94,D94)</f>
        <v>1</v>
      </c>
      <c r="D94" s="2" t="s">
        <v>37</v>
      </c>
      <c r="E94" s="2" t="s">
        <v>38</v>
      </c>
      <c r="F94" s="2">
        <v>450</v>
      </c>
      <c r="H94" t="s">
        <v>14</v>
      </c>
      <c r="I94">
        <f>COUNTIFS(D87:D98,H87,E87:E98,I87)</f>
        <v>2</v>
      </c>
      <c r="L94" s="2" t="s">
        <v>26</v>
      </c>
      <c r="M94" s="8" t="s">
        <v>28</v>
      </c>
      <c r="N94" s="7">
        <v>1235</v>
      </c>
    </row>
    <row r="95" spans="3:16" x14ac:dyDescent="0.3">
      <c r="C95">
        <f>COUNTIF(D$87:$D95,D95)</f>
        <v>2</v>
      </c>
      <c r="D95" s="2" t="s">
        <v>31</v>
      </c>
      <c r="E95" s="2" t="s">
        <v>40</v>
      </c>
      <c r="F95" s="2">
        <v>1650</v>
      </c>
      <c r="H95" t="s">
        <v>16</v>
      </c>
      <c r="I95">
        <f>COUNTBLANK(D86:F98)</f>
        <v>1</v>
      </c>
      <c r="L95" s="2" t="s">
        <v>26</v>
      </c>
      <c r="M95" s="2" t="s">
        <v>39</v>
      </c>
      <c r="N95" s="7">
        <v>550</v>
      </c>
    </row>
    <row r="96" spans="3:16" x14ac:dyDescent="0.3">
      <c r="C96">
        <f>COUNTIF(D$87:$D96,D96)</f>
        <v>1</v>
      </c>
      <c r="D96" s="2" t="s">
        <v>41</v>
      </c>
      <c r="E96" s="2" t="s">
        <v>42</v>
      </c>
      <c r="F96" s="2">
        <v>350</v>
      </c>
      <c r="L96" s="2" t="s">
        <v>30</v>
      </c>
      <c r="M96" s="2" t="s">
        <v>36</v>
      </c>
      <c r="N96" s="2">
        <v>1150</v>
      </c>
    </row>
    <row r="97" spans="3:14" x14ac:dyDescent="0.3">
      <c r="C97">
        <f>COUNTIF(D$87:$D97,D97)</f>
        <v>2</v>
      </c>
      <c r="D97" s="2" t="s">
        <v>29</v>
      </c>
      <c r="E97" s="2" t="s">
        <v>43</v>
      </c>
      <c r="F97" s="2">
        <v>50</v>
      </c>
      <c r="L97" s="2" t="s">
        <v>37</v>
      </c>
      <c r="M97" s="2" t="s">
        <v>38</v>
      </c>
      <c r="N97" s="2">
        <v>450</v>
      </c>
    </row>
    <row r="98" spans="3:14" x14ac:dyDescent="0.3">
      <c r="C98">
        <f>COUNTIF(D$87:$D98,D98)</f>
        <v>5</v>
      </c>
      <c r="D98" s="2" t="s">
        <v>26</v>
      </c>
      <c r="E98" s="8" t="s">
        <v>28</v>
      </c>
      <c r="F98" s="7">
        <v>340</v>
      </c>
      <c r="L98" s="2" t="s">
        <v>31</v>
      </c>
      <c r="M98" s="2" t="s">
        <v>40</v>
      </c>
      <c r="N98" s="2">
        <v>1650</v>
      </c>
    </row>
    <row r="99" spans="3:14" x14ac:dyDescent="0.3">
      <c r="L99" s="2" t="s">
        <v>41</v>
      </c>
      <c r="M99" s="2" t="s">
        <v>42</v>
      </c>
      <c r="N99" s="2">
        <v>350</v>
      </c>
    </row>
    <row r="100" spans="3:14" x14ac:dyDescent="0.3">
      <c r="L100" s="2" t="s">
        <v>29</v>
      </c>
      <c r="M100" s="2" t="s">
        <v>43</v>
      </c>
      <c r="N100" s="2">
        <v>50</v>
      </c>
    </row>
    <row r="101" spans="3:14" x14ac:dyDescent="0.3">
      <c r="L101" s="2" t="s">
        <v>26</v>
      </c>
      <c r="M101" s="8" t="s">
        <v>28</v>
      </c>
      <c r="N101" s="7">
        <v>340</v>
      </c>
    </row>
    <row r="102" spans="3:14" x14ac:dyDescent="0.3">
      <c r="D102" s="11" t="s">
        <v>59</v>
      </c>
    </row>
    <row r="103" spans="3:14" x14ac:dyDescent="0.3">
      <c r="D103" s="11" t="s">
        <v>60</v>
      </c>
    </row>
    <row r="104" spans="3:14" x14ac:dyDescent="0.3">
      <c r="E104" t="s">
        <v>61</v>
      </c>
      <c r="F104" t="s">
        <v>62</v>
      </c>
    </row>
    <row r="105" spans="3:14" x14ac:dyDescent="0.3">
      <c r="E105" t="s">
        <v>63</v>
      </c>
      <c r="F105" t="s">
        <v>64</v>
      </c>
    </row>
    <row r="108" spans="3:14" x14ac:dyDescent="0.3">
      <c r="E108" s="6" t="s">
        <v>23</v>
      </c>
      <c r="F108" s="6" t="s">
        <v>24</v>
      </c>
      <c r="G108" s="6" t="s">
        <v>25</v>
      </c>
      <c r="I108" s="6" t="s">
        <v>23</v>
      </c>
      <c r="J108" s="6" t="s">
        <v>24</v>
      </c>
    </row>
    <row r="109" spans="3:14" x14ac:dyDescent="0.3">
      <c r="E109" s="2" t="s">
        <v>26</v>
      </c>
      <c r="F109" s="2" t="s">
        <v>27</v>
      </c>
      <c r="G109" s="7">
        <v>750</v>
      </c>
      <c r="I109" s="2" t="s">
        <v>26</v>
      </c>
      <c r="J109" s="8" t="s">
        <v>28</v>
      </c>
    </row>
    <row r="110" spans="3:14" x14ac:dyDescent="0.3">
      <c r="E110" s="2" t="s">
        <v>26</v>
      </c>
      <c r="F110" s="8" t="s">
        <v>28</v>
      </c>
      <c r="G110" s="7">
        <v>150</v>
      </c>
    </row>
    <row r="111" spans="3:14" x14ac:dyDescent="0.3">
      <c r="E111" s="2" t="s">
        <v>26</v>
      </c>
      <c r="F111" s="2" t="s">
        <v>34</v>
      </c>
      <c r="G111" s="7">
        <v>125</v>
      </c>
    </row>
    <row r="112" spans="3:14" x14ac:dyDescent="0.3">
      <c r="E112" s="2" t="s">
        <v>29</v>
      </c>
      <c r="F112" s="2" t="s">
        <v>30</v>
      </c>
      <c r="G112" s="2">
        <v>370</v>
      </c>
    </row>
    <row r="113" spans="5:16" x14ac:dyDescent="0.3">
      <c r="E113" s="2" t="s">
        <v>31</v>
      </c>
      <c r="F113" s="2"/>
      <c r="G113" s="2">
        <v>780</v>
      </c>
      <c r="I113" s="2" t="s">
        <v>4</v>
      </c>
      <c r="J113" s="2">
        <f>MAX(G109:G120)</f>
        <v>1650</v>
      </c>
      <c r="N113" s="12">
        <v>46110</v>
      </c>
    </row>
    <row r="114" spans="5:16" x14ac:dyDescent="0.3">
      <c r="E114" s="2" t="s">
        <v>26</v>
      </c>
      <c r="F114" s="2" t="s">
        <v>39</v>
      </c>
      <c r="G114" s="7">
        <v>550</v>
      </c>
      <c r="I114" s="2" t="s">
        <v>65</v>
      </c>
      <c r="J114" s="2">
        <f>_xlfn.MAXIFS(G109:G120,E109:E120,I109)</f>
        <v>750</v>
      </c>
      <c r="N114" s="12">
        <v>46111</v>
      </c>
      <c r="P114" s="12">
        <f>MIN(N113:N114)</f>
        <v>46110</v>
      </c>
    </row>
    <row r="115" spans="5:16" x14ac:dyDescent="0.3">
      <c r="E115" s="2" t="s">
        <v>30</v>
      </c>
      <c r="F115" s="2" t="s">
        <v>36</v>
      </c>
      <c r="G115" s="2">
        <v>1150</v>
      </c>
      <c r="I115" s="2" t="s">
        <v>66</v>
      </c>
      <c r="J115" s="2">
        <f>_xlfn.MAXIFS(G109:G120,E109:E120,I109,F109:F120,J109)</f>
        <v>340</v>
      </c>
    </row>
    <row r="116" spans="5:16" x14ac:dyDescent="0.3">
      <c r="E116" s="2" t="s">
        <v>37</v>
      </c>
      <c r="F116" s="2" t="s">
        <v>38</v>
      </c>
      <c r="G116" s="2">
        <v>450</v>
      </c>
    </row>
    <row r="117" spans="5:16" x14ac:dyDescent="0.3">
      <c r="E117" s="2" t="s">
        <v>31</v>
      </c>
      <c r="F117" s="2" t="s">
        <v>40</v>
      </c>
      <c r="G117" s="2">
        <v>1650</v>
      </c>
    </row>
    <row r="118" spans="5:16" x14ac:dyDescent="0.3">
      <c r="E118" s="2" t="s">
        <v>41</v>
      </c>
      <c r="F118" s="2" t="s">
        <v>42</v>
      </c>
      <c r="G118" s="2">
        <v>350</v>
      </c>
      <c r="I118" s="2" t="s">
        <v>8</v>
      </c>
      <c r="J118" s="2">
        <f>MIN(G109:G120)</f>
        <v>50</v>
      </c>
    </row>
    <row r="119" spans="5:16" x14ac:dyDescent="0.3">
      <c r="E119" s="2" t="s">
        <v>29</v>
      </c>
      <c r="F119" s="2" t="s">
        <v>43</v>
      </c>
      <c r="G119" s="2">
        <v>50</v>
      </c>
      <c r="I119" s="2" t="s">
        <v>67</v>
      </c>
      <c r="J119" s="2">
        <f>_xlfn.MINIFS(G109:G120,E109:E120,I109)</f>
        <v>125</v>
      </c>
    </row>
    <row r="120" spans="5:16" x14ac:dyDescent="0.3">
      <c r="E120" s="2" t="s">
        <v>26</v>
      </c>
      <c r="F120" s="8" t="s">
        <v>28</v>
      </c>
      <c r="G120" s="7">
        <v>340</v>
      </c>
      <c r="I120" s="2" t="s">
        <v>68</v>
      </c>
      <c r="J120" s="2">
        <f>_xlfn.MINIFS(G109:G120,E109:E120,I109,F109:F120,J109)</f>
        <v>150</v>
      </c>
    </row>
  </sheetData>
  <mergeCells count="4">
    <mergeCell ref="A1:D2"/>
    <mergeCell ref="B14:C14"/>
    <mergeCell ref="C37:D37"/>
    <mergeCell ref="B77:C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2026-05-26T04:59:10Z</dcterms:created>
  <dcterms:modified xsi:type="dcterms:W3CDTF">2026-05-26T04:59:42Z</dcterms:modified>
</cp:coreProperties>
</file>