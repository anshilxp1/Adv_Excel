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ETPA\EXCEL\Functions\"/>
    </mc:Choice>
  </mc:AlternateContent>
  <xr:revisionPtr revIDLastSave="0" documentId="8_{300F7E07-F08C-40F1-8339-29EC0D775E0B}" xr6:coauthVersionLast="47" xr6:coauthVersionMax="47" xr10:uidLastSave="{00000000-0000-0000-0000-000000000000}"/>
  <bookViews>
    <workbookView xWindow="-108" yWindow="-108" windowWidth="23256" windowHeight="12456" xr2:uid="{C3B27BC0-58B4-4D50-9307-2D7E75FCC6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4" i="1" l="1"/>
  <c r="E250" i="1"/>
  <c r="D250" i="1"/>
  <c r="D249" i="1" s="1"/>
  <c r="C249" i="1"/>
  <c r="E244" i="1"/>
  <c r="D244" i="1"/>
  <c r="D231" i="1" a="1"/>
  <c r="D233" i="1" s="1"/>
  <c r="D224" i="1" a="1"/>
  <c r="G224" i="1" s="1"/>
  <c r="F215" i="1"/>
  <c r="E215" i="1"/>
  <c r="C215" i="1"/>
  <c r="F214" i="1"/>
  <c r="E214" i="1"/>
  <c r="C214" i="1"/>
  <c r="E213" i="1"/>
  <c r="F213" i="1" s="1"/>
  <c r="C213" i="1"/>
  <c r="E212" i="1"/>
  <c r="F212" i="1" s="1"/>
  <c r="C212" i="1"/>
  <c r="E203" i="1"/>
  <c r="E202" i="1"/>
  <c r="E201" i="1"/>
  <c r="E200" i="1"/>
  <c r="E199" i="1"/>
  <c r="E198" i="1"/>
  <c r="E197" i="1"/>
  <c r="D191" i="1"/>
  <c r="E185" i="1"/>
  <c r="F185" i="1" s="1"/>
  <c r="G185" i="1" s="1"/>
  <c r="E184" i="1"/>
  <c r="F184" i="1" s="1"/>
  <c r="G184" i="1" s="1"/>
  <c r="E175" i="1"/>
  <c r="J167" i="1"/>
  <c r="I167" i="1"/>
  <c r="F167" i="1"/>
  <c r="E167" i="1"/>
  <c r="J166" i="1"/>
  <c r="I166" i="1"/>
  <c r="F166" i="1"/>
  <c r="E166" i="1"/>
  <c r="J165" i="1"/>
  <c r="I165" i="1"/>
  <c r="F165" i="1"/>
  <c r="E165" i="1"/>
  <c r="F157" i="1"/>
  <c r="E157" i="1"/>
  <c r="F156" i="1"/>
  <c r="E156" i="1"/>
  <c r="F155" i="1"/>
  <c r="E155" i="1"/>
  <c r="F154" i="1"/>
  <c r="E154" i="1"/>
  <c r="E147" i="1"/>
  <c r="E146" i="1"/>
  <c r="E140" i="1"/>
  <c r="E139" i="1"/>
  <c r="E138" i="1"/>
  <c r="E137" i="1"/>
  <c r="F132" i="1"/>
  <c r="E132" i="1"/>
  <c r="F131" i="1"/>
  <c r="E131" i="1"/>
  <c r="F130" i="1"/>
  <c r="E130" i="1"/>
  <c r="F129" i="1"/>
  <c r="E129" i="1"/>
  <c r="D119" i="1"/>
  <c r="E118" i="1"/>
  <c r="D101" i="1"/>
  <c r="F92" i="1"/>
  <c r="E92" i="1"/>
  <c r="F85" i="1"/>
  <c r="E85" i="1"/>
  <c r="C85" i="1"/>
  <c r="E84" i="1"/>
  <c r="F84" i="1" s="1"/>
  <c r="C84" i="1"/>
  <c r="E83" i="1"/>
  <c r="F83" i="1" s="1"/>
  <c r="C83" i="1"/>
  <c r="E82" i="1"/>
  <c r="F82" i="1" s="1"/>
  <c r="C82" i="1"/>
  <c r="E75" i="1"/>
  <c r="E74" i="1"/>
  <c r="E73" i="1"/>
  <c r="E72" i="1"/>
  <c r="D65" i="1"/>
  <c r="H57" i="1"/>
  <c r="H58" i="1" s="1"/>
  <c r="G57" i="1"/>
  <c r="G58" i="1" s="1"/>
  <c r="D50" i="1"/>
  <c r="H44" i="1"/>
  <c r="G44" i="1"/>
  <c r="F35" i="1"/>
  <c r="E30" i="1"/>
  <c r="E29" i="1"/>
  <c r="E28" i="1"/>
  <c r="E26" i="1"/>
  <c r="E25" i="1"/>
  <c r="D224" i="1" l="1"/>
  <c r="D234" i="1"/>
  <c r="E224" i="1"/>
  <c r="F224" i="1"/>
  <c r="D231" i="1"/>
  <c r="D232" i="1"/>
</calcChain>
</file>

<file path=xl/sharedStrings.xml><?xml version="1.0" encoding="utf-8"?>
<sst xmlns="http://schemas.openxmlformats.org/spreadsheetml/2006/main" count="196" uniqueCount="122">
  <si>
    <t>Text Function</t>
  </si>
  <si>
    <t>Char</t>
  </si>
  <si>
    <t xml:space="preserve"> =CHAR(Number)</t>
  </si>
  <si>
    <t>Proper</t>
  </si>
  <si>
    <t xml:space="preserve"> =PROPER(Text)</t>
  </si>
  <si>
    <t>Clean</t>
  </si>
  <si>
    <t xml:space="preserve"> =CLEAN(Text)</t>
  </si>
  <si>
    <t>Replace</t>
  </si>
  <si>
    <t xml:space="preserve"> =REPLACE(Old_text,Start_num,Num_char,New_text)</t>
  </si>
  <si>
    <t>Code</t>
  </si>
  <si>
    <t xml:space="preserve"> =CODE(Text)</t>
  </si>
  <si>
    <t>Rept</t>
  </si>
  <si>
    <t xml:space="preserve"> =REPT(Text,Number_time)</t>
  </si>
  <si>
    <t>Concatente</t>
  </si>
  <si>
    <t xml:space="preserve"> =CONCATENATE(Text_1,Text_2,----)</t>
  </si>
  <si>
    <t>Trim</t>
  </si>
  <si>
    <t xml:space="preserve"> =TRIM(Text)</t>
  </si>
  <si>
    <t>Exact</t>
  </si>
  <si>
    <t xml:space="preserve"> =EXACT(Text_1,Text_2)</t>
  </si>
  <si>
    <t>Textjoin</t>
  </si>
  <si>
    <t xml:space="preserve"> =TEXTJOIN(Delimiter,Ignore_empty,Text_1,Text_2,----_)</t>
  </si>
  <si>
    <t>Find</t>
  </si>
  <si>
    <t xml:space="preserve"> =FIND(Find_text,Within_text,Start_number)</t>
  </si>
  <si>
    <t>Search</t>
  </si>
  <si>
    <t xml:space="preserve"> =SEARCH(Find_text,Within_text,Start_num)</t>
  </si>
  <si>
    <t>Fixed</t>
  </si>
  <si>
    <t xml:space="preserve"> =FIXED(Number,Decimals,True/False)</t>
  </si>
  <si>
    <t>Substitute</t>
  </si>
  <si>
    <t xml:space="preserve"> =SUBSTITUTE(TEXT,old_text,new_text)</t>
  </si>
  <si>
    <t xml:space="preserve">Left </t>
  </si>
  <si>
    <t xml:space="preserve"> =LEFT(Text,Num_Char)</t>
  </si>
  <si>
    <t>Textsplit</t>
  </si>
  <si>
    <t xml:space="preserve"> =TEXTSPLIT(text, column_delimiter, [row_delimiter])</t>
  </si>
  <si>
    <t>Right</t>
  </si>
  <si>
    <t xml:space="preserve"> =Right(Text,Num_Char)</t>
  </si>
  <si>
    <t>Textbefore</t>
  </si>
  <si>
    <t xml:space="preserve"> =TEXTBEFORE(TEXT, delimiter)</t>
  </si>
  <si>
    <t>Len</t>
  </si>
  <si>
    <t xml:space="preserve"> =LEN(text)</t>
  </si>
  <si>
    <t>Textafter</t>
  </si>
  <si>
    <t xml:space="preserve"> =TEXTAFTER(text, delimiter)</t>
  </si>
  <si>
    <t>Lower</t>
  </si>
  <si>
    <t xml:space="preserve"> =LOWER(Text)</t>
  </si>
  <si>
    <t>Upper</t>
  </si>
  <si>
    <t xml:space="preserve"> =upper(Text)</t>
  </si>
  <si>
    <t>Mid</t>
  </si>
  <si>
    <t xml:space="preserve"> =MID(Text,start_num,Num_char)</t>
  </si>
  <si>
    <t>Œ</t>
  </si>
  <si>
    <t xml:space="preserve"> =concatente(Text_1,Text_2,Text_3,-----)</t>
  </si>
  <si>
    <t>First Name</t>
  </si>
  <si>
    <t>Last Name</t>
  </si>
  <si>
    <t xml:space="preserve">Full name </t>
  </si>
  <si>
    <t>Rahul</t>
  </si>
  <si>
    <t>Kumar</t>
  </si>
  <si>
    <t>H-47</t>
  </si>
  <si>
    <t>Leo Chowk</t>
  </si>
  <si>
    <t>Near by</t>
  </si>
  <si>
    <t>BMG Mall</t>
  </si>
  <si>
    <t>Rewari</t>
  </si>
  <si>
    <t>Haryana</t>
  </si>
  <si>
    <t xml:space="preserve">Mid Name </t>
  </si>
  <si>
    <t>Full Name</t>
  </si>
  <si>
    <t>Sharma</t>
  </si>
  <si>
    <t>Name</t>
  </si>
  <si>
    <t>Vikas</t>
  </si>
  <si>
    <t>Deepak</t>
  </si>
  <si>
    <t xml:space="preserve">Ajay Kumar      </t>
  </si>
  <si>
    <t xml:space="preserve">Pawan sharma     </t>
  </si>
  <si>
    <t xml:space="preserve">               Vikas</t>
  </si>
  <si>
    <t xml:space="preserve">Deepak           </t>
  </si>
  <si>
    <t xml:space="preserve">Ajay          Kumar      </t>
  </si>
  <si>
    <t xml:space="preserve">Pawan          sharma     </t>
  </si>
  <si>
    <t xml:space="preserve"> =find(find_text,with_in_text,[Start_position])</t>
  </si>
  <si>
    <t>k</t>
  </si>
  <si>
    <t xml:space="preserve"> </t>
  </si>
  <si>
    <t>Rahul Kumar</t>
  </si>
  <si>
    <t>Dipak</t>
  </si>
  <si>
    <t>Ajay</t>
  </si>
  <si>
    <t>deepak</t>
  </si>
  <si>
    <t>Aman</t>
  </si>
  <si>
    <t>Amit</t>
  </si>
  <si>
    <t>Left</t>
  </si>
  <si>
    <t xml:space="preserve"> =left(text,num_of_char)</t>
  </si>
  <si>
    <t xml:space="preserve"> =left(text,find(find_text,with_in_text)-1)</t>
  </si>
  <si>
    <t>Ajay Mishra</t>
  </si>
  <si>
    <t>Deepak Kumar</t>
  </si>
  <si>
    <t>Ram Dua</t>
  </si>
  <si>
    <t>Emp_id</t>
  </si>
  <si>
    <t>Company_name</t>
  </si>
  <si>
    <t>Exl-1256-2025-26</t>
  </si>
  <si>
    <t>CETPA-5236-2025-26</t>
  </si>
  <si>
    <t>AMX-4123-2025-26</t>
  </si>
  <si>
    <t>Gen-5632-2025-26</t>
  </si>
  <si>
    <t xml:space="preserve"> =right(Text,num_of_char)</t>
  </si>
  <si>
    <t xml:space="preserve"> =right(text,len(text)-find(find_text,with_in_text))</t>
  </si>
  <si>
    <t xml:space="preserve"> =mid(text,start_num,num_char)</t>
  </si>
  <si>
    <t>Staring_Position</t>
  </si>
  <si>
    <t>Num_Char</t>
  </si>
  <si>
    <t>Rahul Kumar Sharma</t>
  </si>
  <si>
    <t>Ajay sharma dua</t>
  </si>
  <si>
    <t>Deepak yadav Kumar</t>
  </si>
  <si>
    <t>New Name</t>
  </si>
  <si>
    <t>Ajay Kumar</t>
  </si>
  <si>
    <t>Upper / Lower / Proper</t>
  </si>
  <si>
    <t>upper</t>
  </si>
  <si>
    <t>REPT</t>
  </si>
  <si>
    <t xml:space="preserve">Deepak </t>
  </si>
  <si>
    <t>Rate</t>
  </si>
  <si>
    <t>Rating</t>
  </si>
  <si>
    <t>Raj</t>
  </si>
  <si>
    <t>Keshav</t>
  </si>
  <si>
    <t>len</t>
  </si>
  <si>
    <t xml:space="preserve">      Rahul</t>
  </si>
  <si>
    <t xml:space="preserve">Ajay Kumar             </t>
  </si>
  <si>
    <t>Aman         Sharma</t>
  </si>
  <si>
    <t xml:space="preserve">Raj                       </t>
  </si>
  <si>
    <t>Yadav</t>
  </si>
  <si>
    <t>Exl</t>
  </si>
  <si>
    <t>Text After</t>
  </si>
  <si>
    <t>Vikas Kumar</t>
  </si>
  <si>
    <t>Deepak Kumar Yadav</t>
  </si>
  <si>
    <t>Deepak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</si>
</sst>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3" fillId="2" borderId="1" xfId="0" applyFont="1" applyFill="1" applyBorder="1"/>
    <xf numFmtId="0" fontId="4" fillId="0" borderId="0" xfId="0" applyFont="1"/>
    <xf numFmtId="0" fontId="5" fillId="2" borderId="1" xfId="0" applyFont="1" applyFill="1" applyBorder="1"/>
    <xf numFmtId="3" fontId="0" fillId="0" borderId="0" xfId="0" applyNumberFormat="1"/>
    <xf numFmtId="0" fontId="1" fillId="2" borderId="1" xfId="0" applyFont="1" applyFill="1" applyBorder="1"/>
    <xf numFmtId="0" fontId="6" fillId="0" borderId="1" xfId="0" applyFont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E26FE-B93D-412E-92FF-E099BBF996CD}">
  <dimension ref="B1:L254"/>
  <sheetViews>
    <sheetView tabSelected="1" workbookViewId="0">
      <selection activeCell="N19" sqref="N19"/>
    </sheetView>
  </sheetViews>
  <sheetFormatPr defaultRowHeight="14.4" x14ac:dyDescent="0.3"/>
  <cols>
    <col min="2" max="2" width="19.21875" customWidth="1"/>
    <col min="3" max="3" width="19.109375" bestFit="1" customWidth="1"/>
    <col min="4" max="4" width="15.88671875" customWidth="1"/>
    <col min="5" max="5" width="14.21875" customWidth="1"/>
    <col min="6" max="6" width="12.88671875" customWidth="1"/>
    <col min="7" max="7" width="14" bestFit="1" customWidth="1"/>
    <col min="8" max="8" width="10.33203125" customWidth="1"/>
    <col min="9" max="9" width="15.33203125" bestFit="1" customWidth="1"/>
  </cols>
  <sheetData>
    <row r="1" spans="3:12" x14ac:dyDescent="0.3">
      <c r="D1" s="1" t="s">
        <v>0</v>
      </c>
      <c r="E1" s="1"/>
      <c r="F1" s="1"/>
    </row>
    <row r="2" spans="3:12" x14ac:dyDescent="0.3">
      <c r="D2" s="1"/>
      <c r="E2" s="1"/>
      <c r="F2" s="1"/>
    </row>
    <row r="5" spans="3:12" x14ac:dyDescent="0.3">
      <c r="C5" s="2"/>
      <c r="D5" s="2"/>
      <c r="E5" s="2"/>
    </row>
    <row r="6" spans="3:12" x14ac:dyDescent="0.3">
      <c r="C6" s="3" t="s">
        <v>1</v>
      </c>
      <c r="D6" s="2"/>
      <c r="E6" s="2" t="s">
        <v>2</v>
      </c>
      <c r="G6" s="3" t="s">
        <v>3</v>
      </c>
      <c r="H6" s="4" t="s">
        <v>4</v>
      </c>
      <c r="I6" s="5"/>
      <c r="J6" s="5"/>
      <c r="K6" s="5"/>
      <c r="L6" s="6"/>
    </row>
    <row r="7" spans="3:12" x14ac:dyDescent="0.3">
      <c r="C7" s="3" t="s">
        <v>5</v>
      </c>
      <c r="D7" s="2"/>
      <c r="E7" s="2" t="s">
        <v>6</v>
      </c>
      <c r="G7" s="3" t="s">
        <v>7</v>
      </c>
      <c r="H7" s="4" t="s">
        <v>8</v>
      </c>
      <c r="I7" s="5"/>
      <c r="J7" s="5"/>
      <c r="K7" s="5"/>
      <c r="L7" s="6"/>
    </row>
    <row r="8" spans="3:12" x14ac:dyDescent="0.3">
      <c r="C8" s="3" t="s">
        <v>9</v>
      </c>
      <c r="D8" s="2"/>
      <c r="E8" s="2" t="s">
        <v>10</v>
      </c>
      <c r="G8" s="3" t="s">
        <v>11</v>
      </c>
      <c r="H8" s="4" t="s">
        <v>12</v>
      </c>
      <c r="I8" s="5"/>
      <c r="J8" s="5"/>
      <c r="K8" s="5"/>
      <c r="L8" s="6"/>
    </row>
    <row r="9" spans="3:12" x14ac:dyDescent="0.3">
      <c r="C9" s="3" t="s">
        <v>13</v>
      </c>
      <c r="D9" s="2"/>
      <c r="E9" s="2" t="s">
        <v>14</v>
      </c>
      <c r="G9" s="3" t="s">
        <v>15</v>
      </c>
      <c r="H9" s="4" t="s">
        <v>16</v>
      </c>
      <c r="I9" s="5"/>
      <c r="J9" s="5"/>
      <c r="K9" s="5"/>
      <c r="L9" s="6"/>
    </row>
    <row r="10" spans="3:12" x14ac:dyDescent="0.3">
      <c r="C10" s="3" t="s">
        <v>17</v>
      </c>
      <c r="D10" s="2"/>
      <c r="E10" s="2" t="s">
        <v>18</v>
      </c>
      <c r="G10" s="3" t="s">
        <v>19</v>
      </c>
      <c r="H10" s="4" t="s">
        <v>20</v>
      </c>
      <c r="I10" s="5"/>
      <c r="J10" s="5"/>
      <c r="K10" s="5"/>
      <c r="L10" s="6"/>
    </row>
    <row r="11" spans="3:12" x14ac:dyDescent="0.3">
      <c r="C11" s="3" t="s">
        <v>21</v>
      </c>
      <c r="D11" s="2"/>
      <c r="E11" s="2" t="s">
        <v>22</v>
      </c>
      <c r="G11" s="3" t="s">
        <v>23</v>
      </c>
      <c r="H11" s="7" t="s">
        <v>24</v>
      </c>
      <c r="I11" s="7"/>
      <c r="J11" s="7"/>
      <c r="K11" s="7"/>
      <c r="L11" s="7"/>
    </row>
    <row r="12" spans="3:12" x14ac:dyDescent="0.3">
      <c r="C12" s="3" t="s">
        <v>25</v>
      </c>
      <c r="D12" s="2"/>
      <c r="E12" s="2" t="s">
        <v>26</v>
      </c>
      <c r="G12" s="2" t="s">
        <v>27</v>
      </c>
      <c r="H12" s="8" t="s">
        <v>28</v>
      </c>
      <c r="I12" s="8"/>
      <c r="J12" s="8"/>
      <c r="K12" s="8"/>
      <c r="L12" s="8"/>
    </row>
    <row r="13" spans="3:12" x14ac:dyDescent="0.3">
      <c r="C13" s="3" t="s">
        <v>29</v>
      </c>
      <c r="D13" s="2"/>
      <c r="E13" s="2" t="s">
        <v>30</v>
      </c>
      <c r="G13" s="3" t="s">
        <v>31</v>
      </c>
      <c r="H13" s="8" t="s">
        <v>32</v>
      </c>
      <c r="I13" s="8"/>
      <c r="J13" s="8"/>
      <c r="K13" s="8"/>
      <c r="L13" s="8"/>
    </row>
    <row r="14" spans="3:12" x14ac:dyDescent="0.3">
      <c r="C14" s="3" t="s">
        <v>33</v>
      </c>
      <c r="D14" s="2"/>
      <c r="E14" s="2" t="s">
        <v>34</v>
      </c>
      <c r="G14" s="3" t="s">
        <v>35</v>
      </c>
      <c r="H14" s="8" t="s">
        <v>36</v>
      </c>
      <c r="I14" s="8"/>
      <c r="J14" s="8"/>
      <c r="K14" s="8"/>
      <c r="L14" s="8"/>
    </row>
    <row r="15" spans="3:12" x14ac:dyDescent="0.3">
      <c r="C15" s="3" t="s">
        <v>37</v>
      </c>
      <c r="D15" s="2"/>
      <c r="E15" s="2" t="s">
        <v>38</v>
      </c>
      <c r="G15" s="3" t="s">
        <v>39</v>
      </c>
      <c r="H15" s="8" t="s">
        <v>40</v>
      </c>
      <c r="I15" s="8"/>
      <c r="J15" s="8"/>
      <c r="K15" s="8"/>
      <c r="L15" s="8"/>
    </row>
    <row r="16" spans="3:12" x14ac:dyDescent="0.3">
      <c r="C16" s="3" t="s">
        <v>41</v>
      </c>
      <c r="D16" s="2"/>
      <c r="E16" s="2" t="s">
        <v>42</v>
      </c>
    </row>
    <row r="17" spans="3:5" x14ac:dyDescent="0.3">
      <c r="C17" s="3" t="s">
        <v>43</v>
      </c>
      <c r="D17" s="2"/>
      <c r="E17" s="2" t="s">
        <v>44</v>
      </c>
    </row>
    <row r="18" spans="3:5" x14ac:dyDescent="0.3">
      <c r="C18" s="3" t="s">
        <v>45</v>
      </c>
      <c r="D18" s="2"/>
      <c r="E18" s="2" t="s">
        <v>46</v>
      </c>
    </row>
    <row r="22" spans="3:5" ht="15.6" x14ac:dyDescent="0.3">
      <c r="C22" s="9" t="s">
        <v>1</v>
      </c>
    </row>
    <row r="25" spans="3:5" ht="25.8" x14ac:dyDescent="0.5">
      <c r="D25">
        <v>8</v>
      </c>
      <c r="E25" s="10" t="str">
        <f>CHAR(D25)</f>
        <v>_x0008_</v>
      </c>
    </row>
    <row r="26" spans="3:5" ht="25.8" x14ac:dyDescent="0.5">
      <c r="D26">
        <v>140</v>
      </c>
      <c r="E26" s="10" t="str">
        <f>CHAR(D26)</f>
        <v>Œ</v>
      </c>
    </row>
    <row r="28" spans="3:5" x14ac:dyDescent="0.3">
      <c r="D28">
        <v>65</v>
      </c>
      <c r="E28" t="str">
        <f>CHAR(D28)</f>
        <v>A</v>
      </c>
    </row>
    <row r="29" spans="3:5" x14ac:dyDescent="0.3">
      <c r="D29">
        <v>90</v>
      </c>
      <c r="E29" t="str">
        <f>CHAR(D29)</f>
        <v>Z</v>
      </c>
    </row>
    <row r="30" spans="3:5" x14ac:dyDescent="0.3">
      <c r="D30">
        <v>97</v>
      </c>
      <c r="E30" t="str">
        <f>CHAR(D30)</f>
        <v>a</v>
      </c>
    </row>
    <row r="34" spans="2:10" ht="15.6" x14ac:dyDescent="0.3">
      <c r="B34" s="9" t="s">
        <v>9</v>
      </c>
    </row>
    <row r="35" spans="2:10" ht="25.8" x14ac:dyDescent="0.5">
      <c r="E35" s="10" t="s">
        <v>47</v>
      </c>
      <c r="F35">
        <f>CODE(E35)</f>
        <v>140</v>
      </c>
    </row>
    <row r="40" spans="2:10" ht="15.6" x14ac:dyDescent="0.3">
      <c r="B40" s="9" t="s">
        <v>13</v>
      </c>
    </row>
    <row r="41" spans="2:10" x14ac:dyDescent="0.3">
      <c r="D41" t="s">
        <v>48</v>
      </c>
    </row>
    <row r="43" spans="2:10" x14ac:dyDescent="0.3">
      <c r="E43" s="2" t="s">
        <v>49</v>
      </c>
      <c r="F43" s="2" t="s">
        <v>50</v>
      </c>
      <c r="G43" s="2" t="s">
        <v>51</v>
      </c>
    </row>
    <row r="44" spans="2:10" x14ac:dyDescent="0.3">
      <c r="E44" s="2" t="s">
        <v>52</v>
      </c>
      <c r="F44" s="2" t="s">
        <v>53</v>
      </c>
      <c r="G44" s="2" t="str">
        <f>CONCATENATE(E44,F44)</f>
        <v>RahulKumar</v>
      </c>
      <c r="H44" t="str">
        <f>CONCATENATE(E44," ",F44)</f>
        <v>Rahul Kumar</v>
      </c>
    </row>
    <row r="47" spans="2:10" x14ac:dyDescent="0.3">
      <c r="D47" t="s">
        <v>54</v>
      </c>
      <c r="E47" t="s">
        <v>55</v>
      </c>
      <c r="F47" t="s">
        <v>56</v>
      </c>
      <c r="G47" t="s">
        <v>57</v>
      </c>
      <c r="H47" t="s">
        <v>58</v>
      </c>
      <c r="I47" t="s">
        <v>59</v>
      </c>
      <c r="J47">
        <v>123401</v>
      </c>
    </row>
    <row r="50" spans="2:10" x14ac:dyDescent="0.3">
      <c r="D50" t="str">
        <f>CONCATENATE(D47," ",E47," ",F47," ",G47," ",H47," ",I47,"-",J47)</f>
        <v>H-47 Leo Chowk Near by BMG Mall Rewari Haryana-123401</v>
      </c>
    </row>
    <row r="53" spans="2:10" ht="15.6" x14ac:dyDescent="0.3">
      <c r="B53" s="9" t="s">
        <v>19</v>
      </c>
    </row>
    <row r="55" spans="2:10" x14ac:dyDescent="0.3">
      <c r="G55">
        <v>18</v>
      </c>
    </row>
    <row r="56" spans="2:10" x14ac:dyDescent="0.3">
      <c r="D56" s="2" t="s">
        <v>49</v>
      </c>
      <c r="E56" s="2" t="s">
        <v>60</v>
      </c>
      <c r="F56" s="2" t="s">
        <v>50</v>
      </c>
      <c r="G56" t="s">
        <v>61</v>
      </c>
      <c r="H56" t="s">
        <v>19</v>
      </c>
    </row>
    <row r="57" spans="2:10" x14ac:dyDescent="0.3">
      <c r="D57" s="2" t="s">
        <v>52</v>
      </c>
      <c r="E57" s="2"/>
      <c r="F57" s="2" t="s">
        <v>62</v>
      </c>
      <c r="G57" t="str">
        <f>CONCATENATE(D57," ",E57," ",F57)</f>
        <v>Rahul  Sharma</v>
      </c>
      <c r="H57" t="str">
        <f>_xlfn.TEXTJOIN(" ",FALSE,D57:F57)</f>
        <v>Rahul  Sharma</v>
      </c>
    </row>
    <row r="58" spans="2:10" x14ac:dyDescent="0.3">
      <c r="G58">
        <f>LEN(G57)</f>
        <v>13</v>
      </c>
      <c r="H58">
        <f>LEN(H57)</f>
        <v>13</v>
      </c>
    </row>
    <row r="62" spans="2:10" x14ac:dyDescent="0.3">
      <c r="D62" t="s">
        <v>54</v>
      </c>
      <c r="E62" t="s">
        <v>55</v>
      </c>
      <c r="F62" t="s">
        <v>56</v>
      </c>
      <c r="G62" t="s">
        <v>57</v>
      </c>
      <c r="H62" t="s">
        <v>58</v>
      </c>
      <c r="I62" t="s">
        <v>59</v>
      </c>
      <c r="J62">
        <v>123401</v>
      </c>
    </row>
    <row r="65" spans="2:5" x14ac:dyDescent="0.3">
      <c r="D65" t="str">
        <f>_xlfn.TEXTJOIN(" ",TRUE,D62,",",E62:I62,"-",J62)</f>
        <v>H-47 , Leo Chowk Near by BMG Mall Rewari Haryana - 123401</v>
      </c>
    </row>
    <row r="69" spans="2:5" ht="15.6" x14ac:dyDescent="0.3">
      <c r="B69" s="9" t="s">
        <v>37</v>
      </c>
    </row>
    <row r="71" spans="2:5" x14ac:dyDescent="0.3">
      <c r="D71" t="s">
        <v>63</v>
      </c>
      <c r="E71" t="s">
        <v>37</v>
      </c>
    </row>
    <row r="72" spans="2:5" x14ac:dyDescent="0.3">
      <c r="D72" t="s">
        <v>64</v>
      </c>
      <c r="E72">
        <f>LEN(D72)</f>
        <v>5</v>
      </c>
    </row>
    <row r="73" spans="2:5" x14ac:dyDescent="0.3">
      <c r="D73" t="s">
        <v>65</v>
      </c>
      <c r="E73">
        <f t="shared" ref="E73:E75" si="0">LEN(D73)</f>
        <v>6</v>
      </c>
    </row>
    <row r="74" spans="2:5" x14ac:dyDescent="0.3">
      <c r="D74" t="s">
        <v>66</v>
      </c>
      <c r="E74">
        <f t="shared" si="0"/>
        <v>16</v>
      </c>
    </row>
    <row r="75" spans="2:5" x14ac:dyDescent="0.3">
      <c r="D75" t="s">
        <v>67</v>
      </c>
      <c r="E75">
        <f t="shared" si="0"/>
        <v>17</v>
      </c>
    </row>
    <row r="78" spans="2:5" ht="15.6" x14ac:dyDescent="0.3">
      <c r="B78" s="9" t="s">
        <v>15</v>
      </c>
    </row>
    <row r="81" spans="2:6" x14ac:dyDescent="0.3">
      <c r="C81" t="s">
        <v>37</v>
      </c>
      <c r="D81" t="s">
        <v>63</v>
      </c>
      <c r="E81" t="s">
        <v>15</v>
      </c>
      <c r="F81" t="s">
        <v>37</v>
      </c>
    </row>
    <row r="82" spans="2:6" x14ac:dyDescent="0.3">
      <c r="C82">
        <f>LEN(D82)</f>
        <v>20</v>
      </c>
      <c r="D82" t="s">
        <v>68</v>
      </c>
      <c r="E82" t="str">
        <f>TRIM(D82)</f>
        <v>Vikas</v>
      </c>
      <c r="F82">
        <f>LEN(E82)</f>
        <v>5</v>
      </c>
    </row>
    <row r="83" spans="2:6" x14ac:dyDescent="0.3">
      <c r="C83">
        <f t="shared" ref="C83:C85" si="1">LEN(D83)</f>
        <v>17</v>
      </c>
      <c r="D83" t="s">
        <v>69</v>
      </c>
      <c r="E83" t="str">
        <f t="shared" ref="E83:E85" si="2">TRIM(D83)</f>
        <v>Deepak</v>
      </c>
      <c r="F83">
        <f t="shared" ref="F83:F85" si="3">LEN(E83)</f>
        <v>6</v>
      </c>
    </row>
    <row r="84" spans="2:6" x14ac:dyDescent="0.3">
      <c r="C84">
        <f t="shared" si="1"/>
        <v>25</v>
      </c>
      <c r="D84" t="s">
        <v>70</v>
      </c>
      <c r="E84" t="str">
        <f t="shared" si="2"/>
        <v>Ajay Kumar</v>
      </c>
      <c r="F84">
        <f t="shared" si="3"/>
        <v>10</v>
      </c>
    </row>
    <row r="85" spans="2:6" x14ac:dyDescent="0.3">
      <c r="C85">
        <f t="shared" si="1"/>
        <v>26</v>
      </c>
      <c r="D85" t="s">
        <v>71</v>
      </c>
      <c r="E85" t="str">
        <f t="shared" si="2"/>
        <v>Pawan sharma</v>
      </c>
      <c r="F85">
        <f t="shared" si="3"/>
        <v>12</v>
      </c>
    </row>
    <row r="89" spans="2:6" ht="15.6" x14ac:dyDescent="0.3">
      <c r="B89" s="9" t="s">
        <v>21</v>
      </c>
      <c r="D89" t="s">
        <v>72</v>
      </c>
    </row>
    <row r="91" spans="2:6" x14ac:dyDescent="0.3">
      <c r="D91" t="s">
        <v>63</v>
      </c>
      <c r="E91" t="s">
        <v>73</v>
      </c>
      <c r="F91" t="s">
        <v>74</v>
      </c>
    </row>
    <row r="92" spans="2:6" x14ac:dyDescent="0.3">
      <c r="D92" t="s">
        <v>75</v>
      </c>
      <c r="E92">
        <f>FIND("K",D92)</f>
        <v>7</v>
      </c>
      <c r="F92">
        <f>FIND(" ",D92)</f>
        <v>6</v>
      </c>
    </row>
    <row r="97" spans="2:5" ht="18" x14ac:dyDescent="0.35">
      <c r="B97" s="11" t="s">
        <v>17</v>
      </c>
    </row>
    <row r="99" spans="2:5" x14ac:dyDescent="0.3">
      <c r="D99" t="s">
        <v>65</v>
      </c>
      <c r="E99" t="s">
        <v>76</v>
      </c>
    </row>
    <row r="101" spans="2:5" x14ac:dyDescent="0.3">
      <c r="D101" t="b">
        <f>EXACT(D99,E99)</f>
        <v>0</v>
      </c>
    </row>
    <row r="105" spans="2:5" x14ac:dyDescent="0.3">
      <c r="D105" t="s">
        <v>63</v>
      </c>
    </row>
    <row r="106" spans="2:5" x14ac:dyDescent="0.3">
      <c r="D106" t="s">
        <v>52</v>
      </c>
    </row>
    <row r="107" spans="2:5" x14ac:dyDescent="0.3">
      <c r="D107" t="s">
        <v>77</v>
      </c>
    </row>
    <row r="108" spans="2:5" x14ac:dyDescent="0.3">
      <c r="D108" t="s">
        <v>78</v>
      </c>
    </row>
    <row r="109" spans="2:5" x14ac:dyDescent="0.3">
      <c r="D109" t="s">
        <v>79</v>
      </c>
    </row>
    <row r="110" spans="2:5" x14ac:dyDescent="0.3">
      <c r="D110" t="s">
        <v>64</v>
      </c>
    </row>
    <row r="111" spans="2:5" x14ac:dyDescent="0.3">
      <c r="D111" t="s">
        <v>80</v>
      </c>
      <c r="E111" s="12">
        <v>45000</v>
      </c>
    </row>
    <row r="115" spans="3:6" x14ac:dyDescent="0.3">
      <c r="C115" s="13" t="s">
        <v>25</v>
      </c>
    </row>
    <row r="118" spans="3:6" x14ac:dyDescent="0.3">
      <c r="D118">
        <v>45000</v>
      </c>
      <c r="E118" t="str">
        <f>FIXED(D118)</f>
        <v>45,000.00</v>
      </c>
    </row>
    <row r="119" spans="3:6" x14ac:dyDescent="0.3">
      <c r="D119" t="str">
        <f>FIXED(D118,2,FALSE)</f>
        <v>45,000.00</v>
      </c>
    </row>
    <row r="124" spans="3:6" x14ac:dyDescent="0.3">
      <c r="C124" s="13" t="s">
        <v>81</v>
      </c>
    </row>
    <row r="126" spans="3:6" x14ac:dyDescent="0.3">
      <c r="D126" t="s">
        <v>82</v>
      </c>
      <c r="F126" t="s">
        <v>83</v>
      </c>
    </row>
    <row r="128" spans="3:6" x14ac:dyDescent="0.3">
      <c r="D128" s="3" t="s">
        <v>63</v>
      </c>
      <c r="E128" s="3" t="s">
        <v>49</v>
      </c>
      <c r="F128" s="3"/>
    </row>
    <row r="129" spans="2:6" x14ac:dyDescent="0.3">
      <c r="D129" s="2" t="s">
        <v>75</v>
      </c>
      <c r="E129" s="2" t="str">
        <f>LEFT(D129,5)</f>
        <v>Rahul</v>
      </c>
      <c r="F129" t="str">
        <f>LEFT(D129,FIND(" ",D129)-1)</f>
        <v>Rahul</v>
      </c>
    </row>
    <row r="130" spans="2:6" x14ac:dyDescent="0.3">
      <c r="D130" s="2" t="s">
        <v>84</v>
      </c>
      <c r="E130" s="2" t="str">
        <f t="shared" ref="E130:E132" si="4">LEFT(D130,5)</f>
        <v xml:space="preserve">Ajay </v>
      </c>
      <c r="F130" t="str">
        <f t="shared" ref="F130:F132" si="5">LEFT(D130,FIND(" ",D130)-1)</f>
        <v>Ajay</v>
      </c>
    </row>
    <row r="131" spans="2:6" x14ac:dyDescent="0.3">
      <c r="D131" s="2" t="s">
        <v>85</v>
      </c>
      <c r="E131" s="2" t="str">
        <f t="shared" si="4"/>
        <v>Deepa</v>
      </c>
      <c r="F131" t="str">
        <f t="shared" si="5"/>
        <v>Deepak</v>
      </c>
    </row>
    <row r="132" spans="2:6" x14ac:dyDescent="0.3">
      <c r="D132" s="2" t="s">
        <v>86</v>
      </c>
      <c r="E132" s="2" t="str">
        <f t="shared" si="4"/>
        <v>Ram D</v>
      </c>
      <c r="F132" t="str">
        <f t="shared" si="5"/>
        <v>Ram</v>
      </c>
    </row>
    <row r="136" spans="2:6" x14ac:dyDescent="0.3">
      <c r="D136" s="13" t="s">
        <v>87</v>
      </c>
      <c r="E136" s="13" t="s">
        <v>88</v>
      </c>
    </row>
    <row r="137" spans="2:6" x14ac:dyDescent="0.3">
      <c r="D137" s="2" t="s">
        <v>89</v>
      </c>
      <c r="E137" s="2" t="str">
        <f>LEFT(D137,FIND("-",D137)-1)</f>
        <v>Exl</v>
      </c>
    </row>
    <row r="138" spans="2:6" x14ac:dyDescent="0.3">
      <c r="D138" s="2" t="s">
        <v>90</v>
      </c>
      <c r="E138" s="2" t="str">
        <f t="shared" ref="E138:E140" si="6">LEFT(D138,FIND("-",D138)-1)</f>
        <v>CETPA</v>
      </c>
    </row>
    <row r="139" spans="2:6" x14ac:dyDescent="0.3">
      <c r="D139" s="2" t="s">
        <v>91</v>
      </c>
      <c r="E139" s="2" t="str">
        <f t="shared" si="6"/>
        <v>AMX</v>
      </c>
    </row>
    <row r="140" spans="2:6" x14ac:dyDescent="0.3">
      <c r="D140" s="2" t="s">
        <v>92</v>
      </c>
      <c r="E140" s="2" t="str">
        <f t="shared" si="6"/>
        <v>Gen</v>
      </c>
    </row>
    <row r="144" spans="2:6" x14ac:dyDescent="0.3">
      <c r="B144" s="13" t="s">
        <v>23</v>
      </c>
    </row>
    <row r="145" spans="2:6" x14ac:dyDescent="0.3">
      <c r="D145" t="s">
        <v>75</v>
      </c>
      <c r="E145" t="s">
        <v>73</v>
      </c>
    </row>
    <row r="146" spans="2:6" x14ac:dyDescent="0.3">
      <c r="E146" t="e">
        <f>FIND(E145,D145)</f>
        <v>#VALUE!</v>
      </c>
    </row>
    <row r="147" spans="2:6" x14ac:dyDescent="0.3">
      <c r="E147">
        <f>SEARCH(E145,D145)</f>
        <v>7</v>
      </c>
    </row>
    <row r="150" spans="2:6" x14ac:dyDescent="0.3">
      <c r="B150" s="13" t="s">
        <v>33</v>
      </c>
    </row>
    <row r="151" spans="2:6" x14ac:dyDescent="0.3">
      <c r="D151" t="s">
        <v>93</v>
      </c>
      <c r="F151" t="s">
        <v>94</v>
      </c>
    </row>
    <row r="153" spans="2:6" x14ac:dyDescent="0.3">
      <c r="D153" s="3" t="s">
        <v>63</v>
      </c>
      <c r="E153" s="3" t="s">
        <v>50</v>
      </c>
      <c r="F153" t="s">
        <v>50</v>
      </c>
    </row>
    <row r="154" spans="2:6" x14ac:dyDescent="0.3">
      <c r="D154" s="2" t="s">
        <v>75</v>
      </c>
      <c r="E154" s="2" t="str">
        <f>RIGHT(D154,5)</f>
        <v>Kumar</v>
      </c>
      <c r="F154" t="str">
        <f>RIGHT(D154,LEN(D154)-FIND(" ",D154))</f>
        <v>Kumar</v>
      </c>
    </row>
    <row r="155" spans="2:6" x14ac:dyDescent="0.3">
      <c r="D155" s="2" t="s">
        <v>84</v>
      </c>
      <c r="E155" s="2" t="str">
        <f t="shared" ref="E155:E157" si="7">RIGHT(D155,5)</f>
        <v>ishra</v>
      </c>
      <c r="F155" t="str">
        <f t="shared" ref="F155:F157" si="8">RIGHT(D155,LEN(D155)-FIND(" ",D155))</f>
        <v>Mishra</v>
      </c>
    </row>
    <row r="156" spans="2:6" x14ac:dyDescent="0.3">
      <c r="D156" s="2" t="s">
        <v>85</v>
      </c>
      <c r="E156" s="2" t="str">
        <f t="shared" si="7"/>
        <v>Kumar</v>
      </c>
      <c r="F156" t="str">
        <f t="shared" si="8"/>
        <v>Kumar</v>
      </c>
    </row>
    <row r="157" spans="2:6" x14ac:dyDescent="0.3">
      <c r="D157" s="2" t="s">
        <v>86</v>
      </c>
      <c r="E157" s="2" t="str">
        <f t="shared" si="7"/>
        <v>m Dua</v>
      </c>
      <c r="F157" t="str">
        <f t="shared" si="8"/>
        <v>Dua</v>
      </c>
    </row>
    <row r="161" spans="2:10" x14ac:dyDescent="0.3">
      <c r="B161" s="13" t="s">
        <v>45</v>
      </c>
    </row>
    <row r="162" spans="2:10" x14ac:dyDescent="0.3">
      <c r="D162" t="s">
        <v>95</v>
      </c>
    </row>
    <row r="164" spans="2:10" x14ac:dyDescent="0.3">
      <c r="D164" s="13" t="s">
        <v>63</v>
      </c>
      <c r="E164" s="13" t="s">
        <v>45</v>
      </c>
      <c r="I164" t="s">
        <v>96</v>
      </c>
      <c r="J164" t="s">
        <v>97</v>
      </c>
    </row>
    <row r="165" spans="2:10" x14ac:dyDescent="0.3">
      <c r="D165" s="2" t="s">
        <v>98</v>
      </c>
      <c r="E165" s="2" t="str">
        <f>MID(D165,7,5)</f>
        <v>Kumar</v>
      </c>
      <c r="F165" t="str">
        <f>MID(D165,FIND(" ",D165)+1,FIND(" ",D165,FIND(" ",D165)+1)-FIND(" ",D165)-1)</f>
        <v>Kumar</v>
      </c>
      <c r="I165">
        <f>FIND(" ",D165)+1</f>
        <v>7</v>
      </c>
      <c r="J165">
        <f>FIND(" ",D165,FIND(" ",D165)+1)-FIND(" ",D165)-1</f>
        <v>5</v>
      </c>
    </row>
    <row r="166" spans="2:10" x14ac:dyDescent="0.3">
      <c r="D166" s="2" t="s">
        <v>99</v>
      </c>
      <c r="E166" s="2" t="str">
        <f t="shared" ref="E166:E167" si="9">MID(D166,7,5)</f>
        <v>harma</v>
      </c>
      <c r="F166" t="str">
        <f t="shared" ref="F166:F167" si="10">MID(D166,FIND(" ",D166)+1,FIND(" ",D166,FIND(" ",D166)+1)-FIND(" ",D166)-1)</f>
        <v>sharma</v>
      </c>
      <c r="I166">
        <f t="shared" ref="I166:I167" si="11">FIND(" ",D166)+1</f>
        <v>6</v>
      </c>
      <c r="J166">
        <f>FIND(" ",D166,FIND(" ",D166)+1)-FIND(" ",D166)-1</f>
        <v>6</v>
      </c>
    </row>
    <row r="167" spans="2:10" x14ac:dyDescent="0.3">
      <c r="D167" s="2" t="s">
        <v>100</v>
      </c>
      <c r="E167" s="2" t="str">
        <f t="shared" si="9"/>
        <v xml:space="preserve"> yada</v>
      </c>
      <c r="F167" t="str">
        <f t="shared" si="10"/>
        <v>yadav</v>
      </c>
      <c r="I167">
        <f t="shared" si="11"/>
        <v>8</v>
      </c>
      <c r="J167">
        <f t="shared" ref="J167" si="12">FIND(" ",D167,FIND(" ",D167)+1)-FIND(" ",D167)-1</f>
        <v>5</v>
      </c>
    </row>
    <row r="172" spans="2:10" x14ac:dyDescent="0.3">
      <c r="B172" s="13" t="s">
        <v>7</v>
      </c>
    </row>
    <row r="174" spans="2:10" x14ac:dyDescent="0.3">
      <c r="D174" s="13" t="s">
        <v>63</v>
      </c>
      <c r="E174" s="13" t="s">
        <v>101</v>
      </c>
    </row>
    <row r="175" spans="2:10" x14ac:dyDescent="0.3">
      <c r="D175" s="2" t="s">
        <v>75</v>
      </c>
      <c r="E175" s="2" t="str">
        <f>REPLACE(D175,7,5,"Sharma")</f>
        <v>Rahul Sharma</v>
      </c>
    </row>
    <row r="176" spans="2:10" x14ac:dyDescent="0.3">
      <c r="D176" s="2" t="s">
        <v>102</v>
      </c>
      <c r="E176" s="2"/>
    </row>
    <row r="180" spans="2:7" x14ac:dyDescent="0.3">
      <c r="B180" s="13" t="s">
        <v>103</v>
      </c>
    </row>
    <row r="183" spans="2:7" x14ac:dyDescent="0.3">
      <c r="D183" s="13" t="s">
        <v>63</v>
      </c>
      <c r="E183" t="s">
        <v>104</v>
      </c>
      <c r="F183" t="s">
        <v>41</v>
      </c>
      <c r="G183" t="s">
        <v>3</v>
      </c>
    </row>
    <row r="184" spans="2:7" x14ac:dyDescent="0.3">
      <c r="D184" s="2" t="s">
        <v>75</v>
      </c>
      <c r="E184" t="str">
        <f>UPPER(D184)</f>
        <v>RAHUL KUMAR</v>
      </c>
      <c r="F184" t="str">
        <f>LOWER(E184)</f>
        <v>rahul kumar</v>
      </c>
      <c r="G184" t="str">
        <f>PROPER(F184)</f>
        <v>Rahul Kumar</v>
      </c>
    </row>
    <row r="185" spans="2:7" x14ac:dyDescent="0.3">
      <c r="D185" s="2" t="s">
        <v>102</v>
      </c>
      <c r="E185" t="str">
        <f>UPPER(D185)</f>
        <v>AJAY KUMAR</v>
      </c>
      <c r="F185" t="str">
        <f>LOWER(E185)</f>
        <v>ajay kumar</v>
      </c>
      <c r="G185" t="str">
        <f>PROPER(F185)</f>
        <v>Ajay Kumar</v>
      </c>
    </row>
    <row r="190" spans="2:7" x14ac:dyDescent="0.3">
      <c r="B190" t="s">
        <v>105</v>
      </c>
    </row>
    <row r="191" spans="2:7" x14ac:dyDescent="0.3">
      <c r="C191" t="s">
        <v>106</v>
      </c>
      <c r="D191" t="str">
        <f>REPT(C191,5)</f>
        <v xml:space="preserve">Deepak Deepak Deepak Deepak Deepak </v>
      </c>
    </row>
    <row r="196" spans="2:5" x14ac:dyDescent="0.3">
      <c r="C196" s="2" t="s">
        <v>63</v>
      </c>
      <c r="D196" s="2" t="s">
        <v>107</v>
      </c>
      <c r="E196" s="2" t="s">
        <v>108</v>
      </c>
    </row>
    <row r="197" spans="2:5" ht="18" x14ac:dyDescent="0.35">
      <c r="C197" s="2" t="s">
        <v>52</v>
      </c>
      <c r="D197" s="2">
        <v>4</v>
      </c>
      <c r="E197" s="14" t="str">
        <f>REPT("*",D197)</f>
        <v>****</v>
      </c>
    </row>
    <row r="198" spans="2:5" ht="18" x14ac:dyDescent="0.35">
      <c r="C198" s="2" t="s">
        <v>79</v>
      </c>
      <c r="D198" s="2">
        <v>2</v>
      </c>
      <c r="E198" s="14" t="str">
        <f t="shared" ref="E198:E203" si="13">REPT("*",D198)</f>
        <v>**</v>
      </c>
    </row>
    <row r="199" spans="2:5" ht="18" x14ac:dyDescent="0.35">
      <c r="C199" s="2" t="s">
        <v>77</v>
      </c>
      <c r="D199" s="2">
        <v>3</v>
      </c>
      <c r="E199" s="14" t="str">
        <f t="shared" si="13"/>
        <v>***</v>
      </c>
    </row>
    <row r="200" spans="2:5" ht="18" x14ac:dyDescent="0.35">
      <c r="C200" s="2" t="s">
        <v>65</v>
      </c>
      <c r="D200" s="2">
        <v>4</v>
      </c>
      <c r="E200" s="14" t="str">
        <f t="shared" si="13"/>
        <v>****</v>
      </c>
    </row>
    <row r="201" spans="2:5" ht="18" x14ac:dyDescent="0.35">
      <c r="C201" s="2" t="s">
        <v>80</v>
      </c>
      <c r="D201" s="2">
        <v>4</v>
      </c>
      <c r="E201" s="14" t="str">
        <f t="shared" si="13"/>
        <v>****</v>
      </c>
    </row>
    <row r="202" spans="2:5" ht="18" x14ac:dyDescent="0.35">
      <c r="C202" s="2" t="s">
        <v>109</v>
      </c>
      <c r="D202" s="2">
        <v>2</v>
      </c>
      <c r="E202" s="14" t="str">
        <f t="shared" si="13"/>
        <v>**</v>
      </c>
    </row>
    <row r="203" spans="2:5" ht="18" x14ac:dyDescent="0.35">
      <c r="C203" s="2" t="s">
        <v>110</v>
      </c>
      <c r="D203" s="2">
        <v>1</v>
      </c>
      <c r="E203" s="14" t="str">
        <f t="shared" si="13"/>
        <v>*</v>
      </c>
    </row>
    <row r="208" spans="2:5" x14ac:dyDescent="0.3">
      <c r="B208" s="15" t="s">
        <v>15</v>
      </c>
    </row>
    <row r="211" spans="2:7" x14ac:dyDescent="0.3">
      <c r="D211" t="s">
        <v>63</v>
      </c>
      <c r="E211" t="s">
        <v>15</v>
      </c>
      <c r="F211" t="s">
        <v>111</v>
      </c>
    </row>
    <row r="212" spans="2:7" x14ac:dyDescent="0.3">
      <c r="C212">
        <f>LEN(D212)</f>
        <v>11</v>
      </c>
      <c r="D212" t="s">
        <v>112</v>
      </c>
      <c r="E212" t="str">
        <f>TRIM(D212)</f>
        <v>Rahul</v>
      </c>
      <c r="F212">
        <f>LEN(E212)</f>
        <v>5</v>
      </c>
    </row>
    <row r="213" spans="2:7" x14ac:dyDescent="0.3">
      <c r="C213">
        <f t="shared" ref="C213:C215" si="14">LEN(D213)</f>
        <v>23</v>
      </c>
      <c r="D213" t="s">
        <v>113</v>
      </c>
      <c r="E213" t="str">
        <f t="shared" ref="E213:E215" si="15">TRIM(D213)</f>
        <v>Ajay Kumar</v>
      </c>
      <c r="F213">
        <f t="shared" ref="F213:F215" si="16">LEN(E213)</f>
        <v>10</v>
      </c>
    </row>
    <row r="214" spans="2:7" x14ac:dyDescent="0.3">
      <c r="C214">
        <f t="shared" si="14"/>
        <v>19</v>
      </c>
      <c r="D214" t="s">
        <v>114</v>
      </c>
      <c r="E214" t="str">
        <f t="shared" si="15"/>
        <v>Aman Sharma</v>
      </c>
      <c r="F214">
        <f t="shared" si="16"/>
        <v>11</v>
      </c>
    </row>
    <row r="215" spans="2:7" x14ac:dyDescent="0.3">
      <c r="C215">
        <f t="shared" si="14"/>
        <v>26</v>
      </c>
      <c r="D215" t="s">
        <v>115</v>
      </c>
      <c r="E215" t="str">
        <f t="shared" si="15"/>
        <v>Raj</v>
      </c>
      <c r="F215">
        <f t="shared" si="16"/>
        <v>3</v>
      </c>
    </row>
    <row r="218" spans="2:7" x14ac:dyDescent="0.3">
      <c r="E218" t="s">
        <v>64</v>
      </c>
    </row>
    <row r="219" spans="2:7" x14ac:dyDescent="0.3">
      <c r="E219" t="s">
        <v>116</v>
      </c>
    </row>
    <row r="220" spans="2:7" x14ac:dyDescent="0.3">
      <c r="B220" s="13" t="s">
        <v>31</v>
      </c>
    </row>
    <row r="223" spans="2:7" x14ac:dyDescent="0.3">
      <c r="C223" s="13" t="s">
        <v>87</v>
      </c>
    </row>
    <row r="224" spans="2:7" x14ac:dyDescent="0.3">
      <c r="C224" s="2" t="s">
        <v>89</v>
      </c>
      <c r="D224" t="e">
        <f t="array" aca="1" ref="D224:G224" ca="1">_xlfn.TEXTSPLIT(C224,"-")</f>
        <v>#NAME?</v>
      </c>
      <c r="E224" t="e">
        <f ca="1"/>
        <v>#NAME?</v>
      </c>
      <c r="F224" t="e">
        <f ca="1"/>
        <v>#NAME?</v>
      </c>
      <c r="G224" t="e">
        <f ca="1"/>
        <v>#NAME?</v>
      </c>
    </row>
    <row r="225" spans="2:6" x14ac:dyDescent="0.3">
      <c r="C225" s="2" t="s">
        <v>90</v>
      </c>
    </row>
    <row r="226" spans="2:6" x14ac:dyDescent="0.3">
      <c r="C226" s="2" t="s">
        <v>91</v>
      </c>
    </row>
    <row r="227" spans="2:6" x14ac:dyDescent="0.3">
      <c r="C227" s="2" t="s">
        <v>92</v>
      </c>
    </row>
    <row r="229" spans="2:6" x14ac:dyDescent="0.3">
      <c r="D229" s="2" t="s">
        <v>89</v>
      </c>
      <c r="F229" t="s">
        <v>117</v>
      </c>
    </row>
    <row r="230" spans="2:6" x14ac:dyDescent="0.3">
      <c r="F230">
        <v>1256</v>
      </c>
    </row>
    <row r="231" spans="2:6" x14ac:dyDescent="0.3">
      <c r="D231" t="e">
        <f t="array" aca="1" ref="D231:D234" ca="1">_xlfn.TEXTSPLIT(D229,,"-")</f>
        <v>#NAME?</v>
      </c>
      <c r="F231">
        <v>2025</v>
      </c>
    </row>
    <row r="232" spans="2:6" x14ac:dyDescent="0.3">
      <c r="D232" t="e">
        <f ca="1"/>
        <v>#NAME?</v>
      </c>
      <c r="F232">
        <v>26</v>
      </c>
    </row>
    <row r="233" spans="2:6" x14ac:dyDescent="0.3">
      <c r="D233" t="e">
        <f ca="1"/>
        <v>#NAME?</v>
      </c>
    </row>
    <row r="234" spans="2:6" x14ac:dyDescent="0.3">
      <c r="D234" t="e">
        <f ca="1"/>
        <v>#NAME?</v>
      </c>
    </row>
    <row r="238" spans="2:6" ht="18" x14ac:dyDescent="0.35">
      <c r="B238" s="11" t="s">
        <v>35</v>
      </c>
      <c r="C238" s="11" t="s">
        <v>118</v>
      </c>
    </row>
    <row r="242" spans="2:8" x14ac:dyDescent="0.3">
      <c r="D242" t="s">
        <v>119</v>
      </c>
    </row>
    <row r="244" spans="2:8" x14ac:dyDescent="0.3">
      <c r="D244" t="e">
        <f ca="1">_xlfn.TEXTBEFORE(D242," ")</f>
        <v>#NAME?</v>
      </c>
      <c r="E244" t="e">
        <f ca="1">_xlfn.TEXTAFTER(D242," ")</f>
        <v>#NAME?</v>
      </c>
    </row>
    <row r="247" spans="2:8" x14ac:dyDescent="0.3">
      <c r="B247" s="2" t="s">
        <v>27</v>
      </c>
      <c r="D247" s="8" t="s">
        <v>28</v>
      </c>
      <c r="E247" s="8"/>
      <c r="F247" s="8"/>
      <c r="G247" s="8"/>
      <c r="H247" s="8"/>
    </row>
    <row r="249" spans="2:8" x14ac:dyDescent="0.3">
      <c r="C249">
        <f>LEN(C250)</f>
        <v>18</v>
      </c>
      <c r="D249">
        <f>LEN(D250)</f>
        <v>14</v>
      </c>
    </row>
    <row r="250" spans="2:8" x14ac:dyDescent="0.3">
      <c r="C250" s="2" t="s">
        <v>120</v>
      </c>
      <c r="D250" s="2" t="str">
        <f>SUBSTITUTE(C250,"a","")</f>
        <v>Deepk Kumr Ydv</v>
      </c>
      <c r="E250" s="2">
        <f>LEN(C250)-LEN(SUBSTITUTE(C250,"a",""))</f>
        <v>4</v>
      </c>
    </row>
    <row r="254" spans="2:8" x14ac:dyDescent="0.3">
      <c r="C254" t="s">
        <v>121</v>
      </c>
      <c r="D254" t="str">
        <f>SUBSTITUTE(C254,"Sharma","Verma")</f>
        <v>Deepak Verma</v>
      </c>
    </row>
  </sheetData>
  <mergeCells count="12">
    <mergeCell ref="H11:L11"/>
    <mergeCell ref="H12:L12"/>
    <mergeCell ref="H13:L13"/>
    <mergeCell ref="H14:L14"/>
    <mergeCell ref="H15:L15"/>
    <mergeCell ref="D247:H247"/>
    <mergeCell ref="D1:F2"/>
    <mergeCell ref="H6:L6"/>
    <mergeCell ref="H7:L7"/>
    <mergeCell ref="H8:L8"/>
    <mergeCell ref="H9:L9"/>
    <mergeCell ref="H10:L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Anshil Gautam</dc:creator>
  <cp:lastModifiedBy>Anshil Gautam</cp:lastModifiedBy>
  <dcterms:created xsi:type="dcterms:W3CDTF">2026-05-26T04:54:38Z</dcterms:created>
  <dcterms:modified xsi:type="dcterms:W3CDTF">2026-05-26T04:55:15Z</dcterms:modified>
</cp:coreProperties>
</file>