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BF506E8A-3690-4197-A7D7-EA3FDBD5AED2}" xr6:coauthVersionLast="47" xr6:coauthVersionMax="47" xr10:uidLastSave="{00000000-0000-0000-0000-000000000000}"/>
  <bookViews>
    <workbookView xWindow="-108" yWindow="-108" windowWidth="23256" windowHeight="12456" xr2:uid="{3E129864-B71B-449B-BC4E-886181F35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  <c r="K34" i="1"/>
  <c r="K32" i="1"/>
  <c r="K30" i="1"/>
  <c r="K29" i="1"/>
  <c r="K28" i="1"/>
  <c r="I30" i="1"/>
  <c r="L29" i="1"/>
  <c r="L28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M12" i="1" s="1"/>
  <c r="L12" i="1"/>
  <c r="K13" i="1"/>
  <c r="L13" i="1"/>
  <c r="K14" i="1"/>
  <c r="L14" i="1"/>
  <c r="K15" i="1"/>
  <c r="L15" i="1"/>
  <c r="M15" i="1"/>
  <c r="K16" i="1"/>
  <c r="L16" i="1"/>
  <c r="K17" i="1"/>
  <c r="L17" i="1"/>
  <c r="K18" i="1"/>
  <c r="L18" i="1"/>
  <c r="M18" i="1"/>
  <c r="K19" i="1"/>
  <c r="L19" i="1"/>
  <c r="K20" i="1"/>
  <c r="L20" i="1"/>
  <c r="K21" i="1"/>
  <c r="L21" i="1"/>
  <c r="M21" i="1" s="1"/>
  <c r="K4" i="1"/>
  <c r="L4" i="1"/>
  <c r="B11" i="1"/>
  <c r="L30" i="1" l="1"/>
  <c r="I31" i="1" s="1"/>
  <c r="K31" i="1" s="1"/>
  <c r="M16" i="1"/>
  <c r="M7" i="1"/>
  <c r="M17" i="1"/>
  <c r="M10" i="1"/>
  <c r="M13" i="1"/>
  <c r="M20" i="1"/>
  <c r="M4" i="1"/>
  <c r="M9" i="1"/>
  <c r="M8" i="1"/>
  <c r="M19" i="1"/>
  <c r="M5" i="1"/>
  <c r="M14" i="1"/>
  <c r="M11" i="1"/>
  <c r="M6" i="1"/>
  <c r="L31" i="1" l="1"/>
  <c r="I32" i="1" s="1"/>
  <c r="L32" i="1" l="1"/>
  <c r="I33" i="1" s="1"/>
  <c r="K33" i="1" s="1"/>
  <c r="L33" i="1" l="1"/>
  <c r="I34" i="1" s="1"/>
  <c r="L34" i="1" s="1"/>
  <c r="I35" i="1" s="1"/>
  <c r="K35" i="1" l="1"/>
  <c r="L35" i="1" s="1"/>
  <c r="I36" i="1" s="1"/>
  <c r="K36" i="1" l="1"/>
  <c r="L36" i="1" s="1"/>
  <c r="I37" i="1" s="1"/>
  <c r="K37" i="1" l="1"/>
  <c r="L37" i="1"/>
  <c r="I38" i="1" s="1"/>
  <c r="K38" i="1" l="1"/>
  <c r="L38" i="1" s="1"/>
  <c r="I39" i="1" s="1"/>
  <c r="K39" i="1" l="1"/>
  <c r="L39" i="1" s="1"/>
  <c r="I40" i="1" s="1"/>
  <c r="K40" i="1" l="1"/>
  <c r="L40" i="1" s="1"/>
  <c r="I41" i="1" s="1"/>
  <c r="K41" i="1" l="1"/>
  <c r="L41" i="1" s="1"/>
  <c r="I42" i="1" s="1"/>
  <c r="K42" i="1" l="1"/>
  <c r="L42" i="1" s="1"/>
  <c r="I43" i="1" s="1"/>
  <c r="L43" i="1" l="1"/>
  <c r="I44" i="1" s="1"/>
  <c r="K43" i="1"/>
  <c r="K44" i="1" l="1"/>
  <c r="L44" i="1" s="1"/>
  <c r="I45" i="1" s="1"/>
  <c r="K45" i="1" l="1"/>
  <c r="L45" i="1" s="1"/>
  <c r="I46" i="1" s="1"/>
  <c r="K46" i="1" l="1"/>
  <c r="L46" i="1" s="1"/>
  <c r="I47" i="1" s="1"/>
  <c r="L47" i="1" l="1"/>
  <c r="I48" i="1" s="1"/>
  <c r="K47" i="1"/>
  <c r="K48" i="1" l="1"/>
  <c r="L48" i="1" s="1"/>
  <c r="I49" i="1" s="1"/>
  <c r="L49" i="1" l="1"/>
  <c r="I50" i="1" s="1"/>
  <c r="K49" i="1"/>
  <c r="K50" i="1" l="1"/>
  <c r="L50" i="1" s="1"/>
  <c r="I51" i="1" s="1"/>
  <c r="K51" i="1" l="1"/>
  <c r="L51" i="1" s="1"/>
  <c r="I52" i="1" s="1"/>
  <c r="K52" i="1" l="1"/>
  <c r="L52" i="1" s="1"/>
  <c r="I53" i="1" s="1"/>
  <c r="K53" i="1" l="1"/>
  <c r="L53" i="1" s="1"/>
</calcChain>
</file>

<file path=xl/sharedStrings.xml><?xml version="1.0" encoding="utf-8"?>
<sst xmlns="http://schemas.openxmlformats.org/spreadsheetml/2006/main" count="24" uniqueCount="21">
  <si>
    <t>BIKE LOAN</t>
  </si>
  <si>
    <t>A mount</t>
  </si>
  <si>
    <t xml:space="preserve">Rate </t>
  </si>
  <si>
    <t>Time</t>
  </si>
  <si>
    <t>year</t>
  </si>
  <si>
    <t>month</t>
  </si>
  <si>
    <t>PPMT</t>
  </si>
  <si>
    <t>IPMT</t>
  </si>
  <si>
    <t>PMT(total)</t>
  </si>
  <si>
    <t>PMT</t>
  </si>
  <si>
    <t>PMT,IPMT,PPMT</t>
  </si>
  <si>
    <t>FV(Future value)</t>
  </si>
  <si>
    <t>RD</t>
  </si>
  <si>
    <t>RATE</t>
  </si>
  <si>
    <t>Time(month)</t>
  </si>
  <si>
    <t>opening balance</t>
  </si>
  <si>
    <t>interest</t>
  </si>
  <si>
    <t>total</t>
  </si>
  <si>
    <t xml:space="preserve"> </t>
  </si>
  <si>
    <t>Rate</t>
  </si>
  <si>
    <t>check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</si>
</sst>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8" fontId="0" fillId="0" borderId="0" xfId="0" applyNumberFormat="1"/>
    <xf numFmtId="8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98D9-597B-4871-AA4B-588FB47158E5}">
  <dimension ref="B1:M60"/>
  <sheetViews>
    <sheetView tabSelected="1" topLeftCell="A49" zoomScale="141" zoomScaleNormal="141" workbookViewId="0">
      <selection activeCell="D60" sqref="D60"/>
    </sheetView>
  </sheetViews>
  <sheetFormatPr defaultRowHeight="14.4" x14ac:dyDescent="0.3"/>
  <cols>
    <col min="2" max="2" width="10.109375" bestFit="1" customWidth="1"/>
    <col min="3" max="3" width="11" customWidth="1"/>
    <col min="9" max="9" width="20" customWidth="1"/>
    <col min="10" max="10" width="14.5546875" customWidth="1"/>
    <col min="11" max="11" width="10.109375" bestFit="1" customWidth="1"/>
    <col min="12" max="12" width="8.88671875" customWidth="1"/>
    <col min="13" max="13" width="10.109375" bestFit="1" customWidth="1"/>
  </cols>
  <sheetData>
    <row r="1" spans="2:13" x14ac:dyDescent="0.3">
      <c r="B1" s="1" t="s">
        <v>10</v>
      </c>
      <c r="C1" s="1"/>
      <c r="D1" s="1"/>
      <c r="E1" s="1"/>
      <c r="F1" s="1"/>
    </row>
    <row r="3" spans="2:13" x14ac:dyDescent="0.3">
      <c r="B3" s="2" t="s">
        <v>0</v>
      </c>
      <c r="C3" s="2"/>
      <c r="D3" s="2"/>
      <c r="I3" s="5" t="s">
        <v>5</v>
      </c>
      <c r="J3" s="5"/>
      <c r="K3" s="5" t="s">
        <v>6</v>
      </c>
      <c r="L3" s="5" t="s">
        <v>7</v>
      </c>
      <c r="M3" s="5" t="s">
        <v>8</v>
      </c>
    </row>
    <row r="4" spans="2:13" x14ac:dyDescent="0.3">
      <c r="B4" s="3" t="s">
        <v>1</v>
      </c>
      <c r="C4" s="3">
        <v>115000</v>
      </c>
      <c r="D4" s="3"/>
      <c r="I4" s="3">
        <v>1</v>
      </c>
      <c r="J4" s="3"/>
      <c r="K4" s="7">
        <f>PPMT($C$5/12,I4,$C$6*12,$C$4,,0)</f>
        <v>-5952.9493973878289</v>
      </c>
      <c r="L4" s="7">
        <f>IPMT($C$5/12,I4,$C$6*12,$C$4,,0)</f>
        <v>-947.79166666666663</v>
      </c>
      <c r="M4" s="7">
        <f>SUM(K4:L4)</f>
        <v>-6900.7410640544958</v>
      </c>
    </row>
    <row r="5" spans="2:13" x14ac:dyDescent="0.3">
      <c r="B5" s="3" t="s">
        <v>2</v>
      </c>
      <c r="C5" s="4">
        <v>9.8900000000000002E-2</v>
      </c>
      <c r="D5" s="3"/>
      <c r="I5" s="3">
        <v>2</v>
      </c>
      <c r="J5" s="3"/>
      <c r="K5" s="7">
        <f t="shared" ref="K5:K21" si="0">PPMT($C$5/12,I5,$C$6*12,$C$4,,0)</f>
        <v>-6002.0116220046339</v>
      </c>
      <c r="L5" s="7">
        <f>IPMT($C$5/12,I5,$C$6*12,$C$4,,0)</f>
        <v>-898.72944204986197</v>
      </c>
      <c r="M5" s="7">
        <f t="shared" ref="M5:M21" si="1">SUM(K5:L5)</f>
        <v>-6900.7410640544958</v>
      </c>
    </row>
    <row r="6" spans="2:13" x14ac:dyDescent="0.3">
      <c r="B6" s="3" t="s">
        <v>3</v>
      </c>
      <c r="C6" s="3">
        <v>1.5</v>
      </c>
      <c r="D6" s="3" t="s">
        <v>4</v>
      </c>
      <c r="I6" s="3">
        <v>3</v>
      </c>
      <c r="J6" s="3"/>
      <c r="K6" s="7">
        <f t="shared" si="0"/>
        <v>-6051.4782011226553</v>
      </c>
      <c r="L6" s="7">
        <f>IPMT($C$5/12,I6,$C$6*12,$C$4,,0)</f>
        <v>-849.26286293184046</v>
      </c>
      <c r="M6" s="7">
        <f t="shared" si="1"/>
        <v>-6900.7410640544958</v>
      </c>
    </row>
    <row r="7" spans="2:13" x14ac:dyDescent="0.3">
      <c r="I7" s="3">
        <v>4</v>
      </c>
      <c r="J7" s="3"/>
      <c r="K7" s="7">
        <f t="shared" si="0"/>
        <v>-6101.3524672969088</v>
      </c>
      <c r="L7" s="7">
        <f>IPMT($C$5/12,I7,$C$6*12,$C$4,,0)</f>
        <v>-799.38859675758795</v>
      </c>
      <c r="M7" s="7">
        <f t="shared" si="1"/>
        <v>-6900.7410640544967</v>
      </c>
    </row>
    <row r="8" spans="2:13" x14ac:dyDescent="0.3">
      <c r="I8" s="3">
        <v>5</v>
      </c>
      <c r="J8" s="3"/>
      <c r="K8" s="7">
        <f t="shared" si="0"/>
        <v>-6151.6377805482125</v>
      </c>
      <c r="L8" s="7">
        <f>IPMT($C$5/12,I8,$C$6*12,$C$4,,0)</f>
        <v>-749.10328350628265</v>
      </c>
      <c r="M8" s="7">
        <f t="shared" si="1"/>
        <v>-6900.7410640544949</v>
      </c>
    </row>
    <row r="9" spans="2:13" x14ac:dyDescent="0.3">
      <c r="I9" s="3">
        <v>6</v>
      </c>
      <c r="J9" s="3"/>
      <c r="K9" s="7">
        <f t="shared" si="0"/>
        <v>-6202.3375285895645</v>
      </c>
      <c r="L9" s="7">
        <f>IPMT($C$5/12,I9,$C$6*12,$C$4,,0)</f>
        <v>-698.403535464931</v>
      </c>
      <c r="M9" s="7">
        <f t="shared" si="1"/>
        <v>-6900.7410640544958</v>
      </c>
    </row>
    <row r="10" spans="2:13" x14ac:dyDescent="0.3">
      <c r="B10" t="s">
        <v>9</v>
      </c>
      <c r="I10" s="3">
        <v>7</v>
      </c>
      <c r="J10" s="3"/>
      <c r="K10" s="7">
        <f t="shared" si="0"/>
        <v>-6253.455127054357</v>
      </c>
      <c r="L10" s="7">
        <f>IPMT($C$5/12,I10,$C$6*12,$C$4,,0)</f>
        <v>-647.28593700013869</v>
      </c>
      <c r="M10" s="7">
        <f t="shared" si="1"/>
        <v>-6900.7410640544958</v>
      </c>
    </row>
    <row r="11" spans="2:13" x14ac:dyDescent="0.3">
      <c r="B11" s="6">
        <f>PMT(C5/12,C6*12,C4,,0)</f>
        <v>-6900.7410640544958</v>
      </c>
      <c r="I11" s="3">
        <v>8</v>
      </c>
      <c r="J11" s="3"/>
      <c r="K11" s="7">
        <f t="shared" si="0"/>
        <v>-6304.9940197264968</v>
      </c>
      <c r="L11" s="7">
        <f>IPMT($C$5/12,I11,$C$6*12,$C$4,,0)</f>
        <v>-595.74704432799899</v>
      </c>
      <c r="M11" s="7">
        <f t="shared" si="1"/>
        <v>-6900.7410640544958</v>
      </c>
    </row>
    <row r="12" spans="2:13" x14ac:dyDescent="0.3">
      <c r="I12" s="3">
        <v>9</v>
      </c>
      <c r="J12" s="3"/>
      <c r="K12" s="7">
        <f t="shared" si="0"/>
        <v>-6356.95767877241</v>
      </c>
      <c r="L12" s="7">
        <f>IPMT($C$5/12,I12,$C$6*12,$C$4,,0)</f>
        <v>-543.78338528208644</v>
      </c>
      <c r="M12" s="7">
        <f t="shared" si="1"/>
        <v>-6900.7410640544967</v>
      </c>
    </row>
    <row r="13" spans="2:13" x14ac:dyDescent="0.3">
      <c r="I13" s="3">
        <v>10</v>
      </c>
      <c r="J13" s="3"/>
      <c r="K13" s="7">
        <f t="shared" si="0"/>
        <v>-6409.3496049749583</v>
      </c>
      <c r="L13" s="7">
        <f>IPMT($C$5/12,I13,$C$6*12,$C$4,,0)</f>
        <v>-491.39145907953724</v>
      </c>
      <c r="M13" s="7">
        <f t="shared" si="1"/>
        <v>-6900.7410640544958</v>
      </c>
    </row>
    <row r="14" spans="2:13" x14ac:dyDescent="0.3">
      <c r="I14" s="3">
        <v>11</v>
      </c>
      <c r="J14" s="3"/>
      <c r="K14" s="7">
        <f t="shared" si="0"/>
        <v>-6462.1733279692944</v>
      </c>
      <c r="L14" s="7">
        <f>IPMT($C$5/12,I14,$C$6*12,$C$4,,0)</f>
        <v>-438.56773608520189</v>
      </c>
      <c r="M14" s="7">
        <f t="shared" si="1"/>
        <v>-6900.7410640544967</v>
      </c>
    </row>
    <row r="15" spans="2:13" x14ac:dyDescent="0.3">
      <c r="I15" s="3">
        <v>12</v>
      </c>
      <c r="J15" s="3"/>
      <c r="K15" s="7">
        <f t="shared" si="0"/>
        <v>-6515.4324064806406</v>
      </c>
      <c r="L15" s="7">
        <f>IPMT($C$5/12,I15,$C$6*12,$C$4,,0)</f>
        <v>-385.30865757385499</v>
      </c>
      <c r="M15" s="7">
        <f t="shared" si="1"/>
        <v>-6900.7410640544958</v>
      </c>
    </row>
    <row r="16" spans="2:13" x14ac:dyDescent="0.3">
      <c r="I16" s="3">
        <v>13</v>
      </c>
      <c r="J16" s="3"/>
      <c r="K16" s="7">
        <f t="shared" si="0"/>
        <v>-6569.1304285640526</v>
      </c>
      <c r="L16" s="7">
        <f>IPMT($C$5/12,I16,$C$6*12,$C$4,,0)</f>
        <v>-331.61063549044371</v>
      </c>
      <c r="M16" s="7">
        <f t="shared" si="1"/>
        <v>-6900.7410640544967</v>
      </c>
    </row>
    <row r="17" spans="2:13" x14ac:dyDescent="0.3">
      <c r="I17" s="3">
        <v>14</v>
      </c>
      <c r="J17" s="3"/>
      <c r="K17" s="7">
        <f t="shared" si="0"/>
        <v>-6623.2710118461346</v>
      </c>
      <c r="L17" s="7">
        <f>IPMT($C$5/12,I17,$C$6*12,$C$4,,0)</f>
        <v>-277.47005220836161</v>
      </c>
      <c r="M17" s="7">
        <f t="shared" si="1"/>
        <v>-6900.7410640544958</v>
      </c>
    </row>
    <row r="18" spans="2:13" x14ac:dyDescent="0.3">
      <c r="I18" s="3">
        <v>15</v>
      </c>
      <c r="J18" s="3"/>
      <c r="K18" s="7">
        <f t="shared" si="0"/>
        <v>-6677.8578037687657</v>
      </c>
      <c r="L18" s="7">
        <f>IPMT($C$5/12,I18,$C$6*12,$C$4,,0)</f>
        <v>-222.88326028572976</v>
      </c>
      <c r="M18" s="7">
        <f t="shared" si="1"/>
        <v>-6900.7410640544958</v>
      </c>
    </row>
    <row r="19" spans="2:13" x14ac:dyDescent="0.3">
      <c r="I19" s="3">
        <v>16</v>
      </c>
      <c r="J19" s="3"/>
      <c r="K19" s="7">
        <f t="shared" si="0"/>
        <v>-6732.8944818348264</v>
      </c>
      <c r="L19" s="7">
        <f>IPMT($C$5/12,I19,$C$6*12,$C$4,,0)</f>
        <v>-167.84658221966887</v>
      </c>
      <c r="M19" s="7">
        <f t="shared" si="1"/>
        <v>-6900.7410640544949</v>
      </c>
    </row>
    <row r="20" spans="2:13" x14ac:dyDescent="0.3">
      <c r="I20" s="3">
        <v>17</v>
      </c>
      <c r="J20" s="3"/>
      <c r="K20" s="7">
        <f t="shared" si="0"/>
        <v>-6788.3847538559494</v>
      </c>
      <c r="L20" s="7">
        <f>IPMT($C$5/12,I20,$C$6*12,$C$4,,0)</f>
        <v>-112.35631019854682</v>
      </c>
      <c r="M20" s="7">
        <f t="shared" si="1"/>
        <v>-6900.7410640544958</v>
      </c>
    </row>
    <row r="21" spans="2:13" x14ac:dyDescent="0.3">
      <c r="I21" s="3">
        <v>18</v>
      </c>
      <c r="J21" s="3"/>
      <c r="K21" s="7">
        <f t="shared" si="0"/>
        <v>-6844.3323582023122</v>
      </c>
      <c r="L21" s="7">
        <f>IPMT($C$5/12,I21,$C$6*12,$C$4,,0)</f>
        <v>-56.408705852184049</v>
      </c>
      <c r="M21" s="7">
        <f t="shared" si="1"/>
        <v>-6900.7410640544958</v>
      </c>
    </row>
    <row r="24" spans="2:13" x14ac:dyDescent="0.3">
      <c r="B24" s="8" t="s">
        <v>11</v>
      </c>
      <c r="C24" s="8"/>
    </row>
    <row r="25" spans="2:13" x14ac:dyDescent="0.3">
      <c r="B25" s="8"/>
      <c r="C25" s="8"/>
    </row>
    <row r="27" spans="2:13" x14ac:dyDescent="0.3">
      <c r="C27" s="2" t="s">
        <v>12</v>
      </c>
      <c r="D27" s="2"/>
      <c r="H27" s="9" t="s">
        <v>5</v>
      </c>
      <c r="I27" s="9" t="s">
        <v>15</v>
      </c>
      <c r="J27" s="9" t="s">
        <v>9</v>
      </c>
      <c r="K27" s="9" t="s">
        <v>16</v>
      </c>
      <c r="L27" s="9" t="s">
        <v>17</v>
      </c>
    </row>
    <row r="28" spans="2:13" x14ac:dyDescent="0.3">
      <c r="C28" s="3" t="s">
        <v>9</v>
      </c>
      <c r="D28" s="3">
        <v>4500</v>
      </c>
      <c r="H28" s="3">
        <v>1</v>
      </c>
      <c r="I28" s="3">
        <v>0</v>
      </c>
      <c r="J28" s="3">
        <v>4500</v>
      </c>
      <c r="K28" s="3">
        <f>J28*D29/12</f>
        <v>21.112500000000001</v>
      </c>
      <c r="L28" s="3">
        <f>SUM(I28:K28)</f>
        <v>4521.1125000000002</v>
      </c>
    </row>
    <row r="29" spans="2:13" x14ac:dyDescent="0.3">
      <c r="C29" s="3" t="s">
        <v>13</v>
      </c>
      <c r="D29" s="4">
        <v>5.6300000000000003E-2</v>
      </c>
      <c r="H29" s="3">
        <v>2</v>
      </c>
      <c r="I29" s="3">
        <f>L28</f>
        <v>4521.1125000000002</v>
      </c>
      <c r="J29" s="3">
        <v>4500</v>
      </c>
      <c r="K29" s="3">
        <f>(I29+J29)*$D$29/12</f>
        <v>42.3240528125</v>
      </c>
      <c r="L29" s="3">
        <f>SUM(I29:K29)</f>
        <v>9063.4365528124999</v>
      </c>
    </row>
    <row r="30" spans="2:13" x14ac:dyDescent="0.3">
      <c r="C30" s="3" t="s">
        <v>14</v>
      </c>
      <c r="D30" s="3">
        <v>26</v>
      </c>
      <c r="H30" s="3">
        <v>3</v>
      </c>
      <c r="I30" s="3">
        <f t="shared" ref="I30:I53" si="2">L29</f>
        <v>9063.4365528124999</v>
      </c>
      <c r="J30" s="3">
        <v>4500</v>
      </c>
      <c r="K30" s="3">
        <f t="shared" ref="K30:K53" si="3">(I30+J30)*$D$29/12</f>
        <v>63.635123160278653</v>
      </c>
      <c r="L30" s="3">
        <f>SUM(I30:K30)</f>
        <v>13627.071675972778</v>
      </c>
    </row>
    <row r="31" spans="2:13" x14ac:dyDescent="0.3">
      <c r="H31" s="3">
        <v>4</v>
      </c>
      <c r="I31" s="3">
        <f t="shared" si="2"/>
        <v>13627.071675972778</v>
      </c>
      <c r="J31" s="3">
        <v>4500</v>
      </c>
      <c r="K31" s="3">
        <f t="shared" si="3"/>
        <v>85.046177946438959</v>
      </c>
      <c r="L31" s="3">
        <f t="shared" ref="L31:L53" si="4">SUM(I31:K31)</f>
        <v>18212.117853919219</v>
      </c>
    </row>
    <row r="32" spans="2:13" x14ac:dyDescent="0.3">
      <c r="H32" s="3">
        <v>5</v>
      </c>
      <c r="I32" s="3">
        <f t="shared" si="2"/>
        <v>18212.117853919219</v>
      </c>
      <c r="J32" s="3">
        <v>4500</v>
      </c>
      <c r="K32" s="3">
        <f>(I32+J32)*$D$29/12</f>
        <v>106.55768626463767</v>
      </c>
      <c r="L32" s="3">
        <f t="shared" si="4"/>
        <v>22818.675540183856</v>
      </c>
    </row>
    <row r="33" spans="4:12" x14ac:dyDescent="0.3">
      <c r="H33" s="3">
        <v>6</v>
      </c>
      <c r="I33" s="3">
        <f t="shared" si="2"/>
        <v>22818.675540183856</v>
      </c>
      <c r="J33" s="3">
        <v>4500</v>
      </c>
      <c r="K33" s="3">
        <f t="shared" si="3"/>
        <v>128.1701194093626</v>
      </c>
      <c r="L33" s="3">
        <f t="shared" si="4"/>
        <v>27446.845659593218</v>
      </c>
    </row>
    <row r="34" spans="4:12" x14ac:dyDescent="0.3">
      <c r="H34" s="3">
        <v>7</v>
      </c>
      <c r="I34" s="3">
        <f t="shared" si="2"/>
        <v>27446.845659593218</v>
      </c>
      <c r="J34" s="3">
        <v>4500</v>
      </c>
      <c r="K34" s="3">
        <f t="shared" si="3"/>
        <v>149.88395088625819</v>
      </c>
      <c r="L34" s="3">
        <f t="shared" si="4"/>
        <v>32096.729610479477</v>
      </c>
    </row>
    <row r="35" spans="4:12" x14ac:dyDescent="0.3">
      <c r="D35" t="s">
        <v>18</v>
      </c>
      <c r="H35" s="3">
        <v>8</v>
      </c>
      <c r="I35" s="3">
        <f t="shared" si="2"/>
        <v>32096.729610479477</v>
      </c>
      <c r="J35" s="3">
        <v>4500</v>
      </c>
      <c r="K35" s="3">
        <f t="shared" si="3"/>
        <v>171.69965642249954</v>
      </c>
      <c r="L35" s="3">
        <f t="shared" si="4"/>
        <v>36768.429266901978</v>
      </c>
    </row>
    <row r="36" spans="4:12" x14ac:dyDescent="0.3">
      <c r="H36" s="3">
        <v>9</v>
      </c>
      <c r="I36" s="3">
        <f t="shared" si="2"/>
        <v>36768.429266901978</v>
      </c>
      <c r="J36" s="3">
        <v>4500</v>
      </c>
      <c r="K36" s="3">
        <f t="shared" si="3"/>
        <v>193.61771397721512</v>
      </c>
      <c r="L36" s="3">
        <f t="shared" si="4"/>
        <v>41462.04698087919</v>
      </c>
    </row>
    <row r="37" spans="4:12" x14ac:dyDescent="0.3">
      <c r="H37" s="3">
        <v>10</v>
      </c>
      <c r="I37" s="3">
        <f t="shared" si="2"/>
        <v>41462.04698087919</v>
      </c>
      <c r="J37" s="3">
        <v>4500</v>
      </c>
      <c r="K37" s="3">
        <f t="shared" si="3"/>
        <v>215.63860375195819</v>
      </c>
      <c r="L37" s="3">
        <f t="shared" si="4"/>
        <v>46177.685584631145</v>
      </c>
    </row>
    <row r="38" spans="4:12" x14ac:dyDescent="0.3">
      <c r="H38" s="3">
        <v>11</v>
      </c>
      <c r="I38" s="3">
        <f t="shared" si="2"/>
        <v>46177.685584631145</v>
      </c>
      <c r="J38" s="3">
        <v>4500</v>
      </c>
      <c r="K38" s="3">
        <f t="shared" si="3"/>
        <v>237.76280820122781</v>
      </c>
      <c r="L38" s="3">
        <f t="shared" si="4"/>
        <v>50915.448392832375</v>
      </c>
    </row>
    <row r="39" spans="4:12" x14ac:dyDescent="0.3">
      <c r="H39" s="3">
        <v>12</v>
      </c>
      <c r="I39" s="3">
        <f t="shared" si="2"/>
        <v>50915.448392832375</v>
      </c>
      <c r="J39" s="3">
        <v>4500</v>
      </c>
      <c r="K39" s="3">
        <f t="shared" si="3"/>
        <v>259.9908120430386</v>
      </c>
      <c r="L39" s="3">
        <f t="shared" si="4"/>
        <v>55675.439204875416</v>
      </c>
    </row>
    <row r="40" spans="4:12" x14ac:dyDescent="0.3">
      <c r="H40" s="3">
        <v>13</v>
      </c>
      <c r="I40" s="3">
        <f t="shared" si="2"/>
        <v>55675.439204875416</v>
      </c>
      <c r="J40" s="3">
        <v>4500</v>
      </c>
      <c r="K40" s="3">
        <f t="shared" si="3"/>
        <v>282.32310226954053</v>
      </c>
      <c r="L40" s="3">
        <f t="shared" si="4"/>
        <v>60457.762307144956</v>
      </c>
    </row>
    <row r="41" spans="4:12" x14ac:dyDescent="0.3">
      <c r="H41" s="3">
        <v>14</v>
      </c>
      <c r="I41" s="3">
        <f t="shared" si="2"/>
        <v>60457.762307144956</v>
      </c>
      <c r="J41" s="3">
        <v>4500</v>
      </c>
      <c r="K41" s="3">
        <f t="shared" si="3"/>
        <v>304.76016815768844</v>
      </c>
      <c r="L41" s="3">
        <f t="shared" si="4"/>
        <v>65262.522475302641</v>
      </c>
    </row>
    <row r="42" spans="4:12" x14ac:dyDescent="0.3">
      <c r="H42" s="3">
        <v>15</v>
      </c>
      <c r="I42" s="3">
        <f t="shared" si="2"/>
        <v>65262.522475302641</v>
      </c>
      <c r="J42" s="3">
        <v>4500</v>
      </c>
      <c r="K42" s="3">
        <f t="shared" si="3"/>
        <v>327.30250127996158</v>
      </c>
      <c r="L42" s="3">
        <f t="shared" si="4"/>
        <v>70089.824976582604</v>
      </c>
    </row>
    <row r="43" spans="4:12" x14ac:dyDescent="0.3">
      <c r="H43" s="3">
        <v>16</v>
      </c>
      <c r="I43" s="3">
        <f t="shared" si="2"/>
        <v>70089.824976582604</v>
      </c>
      <c r="J43" s="3">
        <v>4500</v>
      </c>
      <c r="K43" s="3">
        <f t="shared" si="3"/>
        <v>349.95059551513344</v>
      </c>
      <c r="L43" s="3">
        <f t="shared" si="4"/>
        <v>74939.775572097744</v>
      </c>
    </row>
    <row r="44" spans="4:12" x14ac:dyDescent="0.3">
      <c r="H44" s="3">
        <v>17</v>
      </c>
      <c r="I44" s="3">
        <f t="shared" si="2"/>
        <v>74939.775572097744</v>
      </c>
      <c r="J44" s="3">
        <v>4500</v>
      </c>
      <c r="K44" s="3">
        <f t="shared" si="3"/>
        <v>372.70494705909192</v>
      </c>
      <c r="L44" s="3">
        <f t="shared" si="4"/>
        <v>79812.48051915683</v>
      </c>
    </row>
    <row r="45" spans="4:12" x14ac:dyDescent="0.3">
      <c r="H45" s="3">
        <v>18</v>
      </c>
      <c r="I45" s="3">
        <f t="shared" si="2"/>
        <v>79812.48051915683</v>
      </c>
      <c r="J45" s="3">
        <v>4500</v>
      </c>
      <c r="K45" s="3">
        <f t="shared" si="3"/>
        <v>395.56605443571084</v>
      </c>
      <c r="L45" s="3">
        <f t="shared" si="4"/>
        <v>84708.046573592539</v>
      </c>
    </row>
    <row r="46" spans="4:12" x14ac:dyDescent="0.3">
      <c r="H46" s="3">
        <v>19</v>
      </c>
      <c r="I46" s="3">
        <f t="shared" si="2"/>
        <v>84708.046573592539</v>
      </c>
      <c r="J46" s="3">
        <v>4500</v>
      </c>
      <c r="K46" s="3">
        <f t="shared" si="3"/>
        <v>418.5344185077717</v>
      </c>
      <c r="L46" s="3">
        <f t="shared" si="4"/>
        <v>89626.580992100309</v>
      </c>
    </row>
    <row r="47" spans="4:12" x14ac:dyDescent="0.3">
      <c r="H47" s="3">
        <v>20</v>
      </c>
      <c r="I47" s="3">
        <f t="shared" si="2"/>
        <v>89626.580992100309</v>
      </c>
      <c r="J47" s="3">
        <v>4500</v>
      </c>
      <c r="K47" s="3">
        <f t="shared" si="3"/>
        <v>441.61054248793727</v>
      </c>
      <c r="L47" s="3">
        <f t="shared" si="4"/>
        <v>94568.191534588244</v>
      </c>
    </row>
    <row r="48" spans="4:12" x14ac:dyDescent="0.3">
      <c r="H48" s="3">
        <v>21</v>
      </c>
      <c r="I48" s="3">
        <f t="shared" si="2"/>
        <v>94568.191534588244</v>
      </c>
      <c r="J48" s="3">
        <v>4500</v>
      </c>
      <c r="K48" s="3">
        <f t="shared" si="3"/>
        <v>464.79493194977653</v>
      </c>
      <c r="L48" s="3">
        <f t="shared" si="4"/>
        <v>99532.986466538016</v>
      </c>
    </row>
    <row r="49" spans="2:12" x14ac:dyDescent="0.3">
      <c r="H49" s="3">
        <v>22</v>
      </c>
      <c r="I49" s="3">
        <f t="shared" si="2"/>
        <v>99532.986466538016</v>
      </c>
      <c r="J49" s="3">
        <v>4500</v>
      </c>
      <c r="K49" s="3">
        <f t="shared" si="3"/>
        <v>488.08809483884085</v>
      </c>
      <c r="L49" s="3">
        <f t="shared" si="4"/>
        <v>104521.07456137685</v>
      </c>
    </row>
    <row r="50" spans="2:12" x14ac:dyDescent="0.3">
      <c r="H50" s="3">
        <v>23</v>
      </c>
      <c r="I50" s="3">
        <f t="shared" si="2"/>
        <v>104521.07456137685</v>
      </c>
      <c r="J50" s="3">
        <v>4500</v>
      </c>
      <c r="K50" s="3">
        <f t="shared" si="3"/>
        <v>511.49054148379309</v>
      </c>
      <c r="L50" s="3">
        <f t="shared" si="4"/>
        <v>109532.56510286065</v>
      </c>
    </row>
    <row r="51" spans="2:12" x14ac:dyDescent="0.3">
      <c r="H51" s="3">
        <v>24</v>
      </c>
      <c r="I51" s="3">
        <f t="shared" si="2"/>
        <v>109532.56510286065</v>
      </c>
      <c r="J51" s="3">
        <v>4500</v>
      </c>
      <c r="K51" s="3">
        <f t="shared" si="3"/>
        <v>535.00278460758796</v>
      </c>
      <c r="L51" s="3">
        <f t="shared" si="4"/>
        <v>114567.56788746823</v>
      </c>
    </row>
    <row r="52" spans="2:12" x14ac:dyDescent="0.3">
      <c r="H52" s="3">
        <v>25</v>
      </c>
      <c r="I52" s="3">
        <f t="shared" si="2"/>
        <v>114567.56788746823</v>
      </c>
      <c r="J52" s="3">
        <v>4500</v>
      </c>
      <c r="K52" s="3">
        <f t="shared" si="3"/>
        <v>558.6253393387052</v>
      </c>
      <c r="L52" s="3">
        <f t="shared" si="4"/>
        <v>119626.19322680694</v>
      </c>
    </row>
    <row r="53" spans="2:12" x14ac:dyDescent="0.3">
      <c r="B53" s="8" t="s">
        <v>19</v>
      </c>
      <c r="C53" s="8"/>
      <c r="D53" s="8"/>
      <c r="H53" s="3">
        <v>26</v>
      </c>
      <c r="I53" s="3">
        <f t="shared" si="2"/>
        <v>119626.19322680694</v>
      </c>
      <c r="J53" s="3">
        <v>4500</v>
      </c>
      <c r="K53" s="3">
        <f t="shared" si="3"/>
        <v>582.35872322243597</v>
      </c>
      <c r="L53" s="3">
        <f t="shared" si="4"/>
        <v>124708.55195002937</v>
      </c>
    </row>
    <row r="54" spans="2:12" x14ac:dyDescent="0.3">
      <c r="B54" s="8"/>
      <c r="C54" s="8"/>
      <c r="D54" s="8"/>
      <c r="L54" s="3"/>
    </row>
    <row r="55" spans="2:12" x14ac:dyDescent="0.3">
      <c r="B55" s="8"/>
      <c r="C55" s="8"/>
      <c r="D55" s="8"/>
      <c r="L55" s="3"/>
    </row>
    <row r="60" spans="2:12" x14ac:dyDescent="0.3">
      <c r="D60" s="9" t="s">
        <v>20</v>
      </c>
    </row>
  </sheetData>
  <mergeCells count="5">
    <mergeCell ref="B24:C25"/>
    <mergeCell ref="C27:D27"/>
    <mergeCell ref="B53:D55"/>
    <mergeCell ref="B3:D3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2026-04-29T19:41:41Z</dcterms:created>
  <dcterms:modified xsi:type="dcterms:W3CDTF">2026-04-30T14:31:43Z</dcterms:modified>
</cp:coreProperties>
</file>